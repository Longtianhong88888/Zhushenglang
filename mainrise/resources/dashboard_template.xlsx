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c\Home\Desktop\chaoduan\output\reports\"/>
    </mc:Choice>
  </mc:AlternateContent>
  <bookViews>
    <workbookView xWindow="0" yWindow="0" windowWidth="22050" windowHeight="9420"/>
  </bookViews>
  <sheets>
    <sheet name="Dashboard" sheetId="1" r:id="rId1"/>
    <sheet name="Summary" sheetId="2" r:id="rId2"/>
    <sheet name="Watch" sheetId="3" r:id="rId3"/>
    <sheet name="Data" sheetId="4" r:id="rId4"/>
  </sheets>
  <calcPr calcId="162913"/>
</workbook>
</file>

<file path=xl/calcChain.xml><?xml version="1.0" encoding="utf-8"?>
<calcChain xmlns="http://schemas.openxmlformats.org/spreadsheetml/2006/main">
  <c r="I11" i="3" l="1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A4" i="2"/>
  <c r="D11" i="2" s="1"/>
  <c r="A3" i="2"/>
  <c r="C10" i="2" s="1"/>
  <c r="L2" i="2"/>
  <c r="H2" i="2"/>
  <c r="G2" i="2"/>
  <c r="D2" i="2"/>
  <c r="C2" i="2"/>
  <c r="A2" i="2"/>
  <c r="B13" i="2" s="1"/>
  <c r="G11" i="1"/>
  <c r="E11" i="1"/>
  <c r="C11" i="1"/>
  <c r="B11" i="1"/>
  <c r="G10" i="1"/>
  <c r="E10" i="1"/>
  <c r="C10" i="1"/>
  <c r="B10" i="1"/>
  <c r="G9" i="1"/>
  <c r="E9" i="1"/>
  <c r="C9" i="1"/>
  <c r="B9" i="1"/>
  <c r="B7" i="1"/>
  <c r="B3" i="1"/>
  <c r="E3" i="2" l="1"/>
  <c r="I3" i="2"/>
  <c r="B4" i="2"/>
  <c r="D3" i="1" s="1"/>
  <c r="F4" i="2"/>
  <c r="F3" i="1" s="1"/>
  <c r="J4" i="2"/>
  <c r="D6" i="2"/>
  <c r="B8" i="2"/>
  <c r="C9" i="2"/>
  <c r="D10" i="2"/>
  <c r="B12" i="2"/>
  <c r="C13" i="2"/>
  <c r="O19" i="2"/>
  <c r="P19" i="2" s="1"/>
  <c r="E2" i="2"/>
  <c r="I2" i="2"/>
  <c r="B3" i="2"/>
  <c r="F3" i="2"/>
  <c r="J3" i="2"/>
  <c r="C4" i="2"/>
  <c r="H3" i="1" s="1"/>
  <c r="G4" i="2"/>
  <c r="L4" i="2"/>
  <c r="B7" i="2"/>
  <c r="C8" i="2"/>
  <c r="D9" i="2"/>
  <c r="B11" i="2"/>
  <c r="C12" i="2"/>
  <c r="D13" i="2"/>
  <c r="B2" i="2"/>
  <c r="F2" i="2"/>
  <c r="J2" i="2"/>
  <c r="C3" i="2"/>
  <c r="G3" i="2"/>
  <c r="L3" i="2"/>
  <c r="D4" i="2"/>
  <c r="J3" i="1" s="1"/>
  <c r="H4" i="2"/>
  <c r="B6" i="2"/>
  <c r="C7" i="2"/>
  <c r="D8" i="2"/>
  <c r="B10" i="2"/>
  <c r="C11" i="2"/>
  <c r="D12" i="2"/>
  <c r="O18" i="2"/>
  <c r="P18" i="2" s="1"/>
  <c r="O20" i="2"/>
  <c r="P20" i="2" s="1"/>
  <c r="D3" i="2"/>
  <c r="H3" i="2"/>
  <c r="E4" i="2"/>
  <c r="L3" i="1" s="1"/>
  <c r="I4" i="2"/>
  <c r="C6" i="2"/>
  <c r="D7" i="2"/>
  <c r="B9" i="2"/>
</calcChain>
</file>

<file path=xl/sharedStrings.xml><?xml version="1.0" encoding="utf-8"?>
<sst xmlns="http://schemas.openxmlformats.org/spreadsheetml/2006/main" count="1018" uniqueCount="243">
  <si>
    <t>主升浪信号跟踪 KPI 仪表盘</t>
  </si>
  <si>
    <t>跟踪天数</t>
  </si>
  <si>
    <t>观察池数量（最新）</t>
  </si>
  <si>
    <t>买点提示（最新）</t>
  </si>
  <si>
    <t>平均综合分（最新）</t>
  </si>
  <si>
    <t>平均涨跌幅（最新）</t>
  </si>
  <si>
    <t>上涨家数（最新）</t>
  </si>
  <si>
    <t>状态</t>
  </si>
  <si>
    <t>名称</t>
  </si>
  <si>
    <t>综合分</t>
  </si>
  <si>
    <t>提示</t>
  </si>
  <si>
    <t>主升浪信号跟踪 KPI 仪表盘（数据源: output/reports/主升浪跟踪_2026-08-04/05/06.csv + output/state/mainrise_positions.csv；涨跌幅/10日涨幅为百分数，如 8.83 即 8.83%）</t>
  </si>
  <si>
    <t>买点明细=最新日观察池内 T0/T1/回踩低吸 且 10日涨幅&lt;80%（防追高）；持仓收益=每日收盘/买入价-1（买入价 32.12，来源 positions.csv）；免责：研究线索，不构成投资建议</t>
  </si>
  <si>
    <t>日期</t>
  </si>
  <si>
    <t>观察池数量</t>
  </si>
  <si>
    <t>平均综合分</t>
  </si>
  <si>
    <t>平均涨跌幅(%)</t>
  </si>
  <si>
    <t>上涨家数</t>
  </si>
  <si>
    <t>买点提示</t>
  </si>
  <si>
    <t>破位家数</t>
  </si>
  <si>
    <t>空头家数</t>
  </si>
  <si>
    <t>多头持有家数</t>
  </si>
  <si>
    <t>新增信号数</t>
  </si>
  <si>
    <t>日期（文本）</t>
  </si>
  <si>
    <t>状态分布（观察池，按日）</t>
  </si>
  <si>
    <t>空头</t>
  </si>
  <si>
    <t>破位</t>
  </si>
  <si>
    <t>多头持有</t>
  </si>
  <si>
    <t>回踩低吸</t>
  </si>
  <si>
    <t>多头回踩</t>
  </si>
  <si>
    <t>T1确认买点</t>
  </si>
  <si>
    <t>T0新信号</t>
  </si>
  <si>
    <t>数据源: output/reports/主升浪跟踪_2026-08-04/05/06.csv（观察池36只 + 08-05全市场新信号83只）；涨跌幅/10日涨幅为百分数（8.83 即 8.83%）；买点提示=观察池中 T0/T1/回踩低吸 且 10日涨幅&lt;80%（防追高）。</t>
  </si>
  <si>
    <t>图表辅助数据（持仓收益 / Top10 分档）</t>
  </si>
  <si>
    <t>紫金收盘</t>
  </si>
  <si>
    <t>持仓盈亏%</t>
  </si>
  <si>
    <t>买入价(紫金矿业)</t>
  </si>
  <si>
    <t>来源: output/state/mainrise_positions.csv（2026-08-04 回踩低吸建仓，当前 active）</t>
  </si>
  <si>
    <t>代码</t>
  </si>
  <si>
    <t>收盘</t>
  </si>
  <si>
    <t>涨跌幅(%)</t>
  </si>
  <si>
    <t>&gt;80</t>
  </si>
  <si>
    <t>75-80</t>
  </si>
  <si>
    <t>000657</t>
  </si>
  <si>
    <t>中钨高新</t>
  </si>
  <si>
    <t>均线未多头，观望</t>
  </si>
  <si>
    <t>兆易创新</t>
  </si>
  <si>
    <t>跌破 MA20，趋势破坏，暂不参与</t>
  </si>
  <si>
    <t>紫金矿业</t>
  </si>
  <si>
    <t>买点1：明日开盘买入（信号日收盘 34.10，止损-5%）</t>
  </si>
  <si>
    <t>金海通</t>
  </si>
  <si>
    <t>002653</t>
  </si>
  <si>
    <t>海思科</t>
  </si>
  <si>
    <t>001309</t>
  </si>
  <si>
    <t>德明利</t>
  </si>
  <si>
    <t>000975</t>
  </si>
  <si>
    <t>山金国际</t>
  </si>
  <si>
    <t>MA10(23.02)上方，回踩低吸/持有</t>
  </si>
  <si>
    <t>江丰电子</t>
  </si>
  <si>
    <t>长飞光纤</t>
  </si>
  <si>
    <t>002297</t>
  </si>
  <si>
    <t>博云新材</t>
  </si>
  <si>
    <t>宏和科技</t>
  </si>
  <si>
    <t>002842</t>
  </si>
  <si>
    <t>翔鹭钨业</t>
  </si>
  <si>
    <t>生益科技</t>
  </si>
  <si>
    <t>厦门钨业</t>
  </si>
  <si>
    <t>003031</t>
  </si>
  <si>
    <t>中瓷电子</t>
  </si>
  <si>
    <t>诚达药业</t>
  </si>
  <si>
    <t>中金黄金</t>
  </si>
  <si>
    <t>MA10(22.51)上方，回踩低吸/持有</t>
  </si>
  <si>
    <t>中际联合</t>
  </si>
  <si>
    <t>东鹏饮料</t>
  </si>
  <si>
    <t>桂冠电力</t>
  </si>
  <si>
    <t>买点2：MA10(10.79)附近缩量企稳，可低吸</t>
  </si>
  <si>
    <t>002192</t>
  </si>
  <si>
    <t>融捷股份</t>
  </si>
  <si>
    <t>科达制造</t>
  </si>
  <si>
    <t>金诚信</t>
  </si>
  <si>
    <t>买点1：明日开盘买入（信号日收盘 78.68，止损-5%）</t>
  </si>
  <si>
    <t>华新水泥</t>
  </si>
  <si>
    <t>MA10(21.83)上方，回踩低吸/持有</t>
  </si>
  <si>
    <t>002338</t>
  </si>
  <si>
    <t>奥普光电</t>
  </si>
  <si>
    <t>粤海饲料</t>
  </si>
  <si>
    <t>天味食品</t>
  </si>
  <si>
    <t>回踩 MA10(14.46)→MA20(14.08)区间，观察企稳</t>
  </si>
  <si>
    <t>000989</t>
  </si>
  <si>
    <t>九芝堂</t>
  </si>
  <si>
    <t>宝通科技</t>
  </si>
  <si>
    <t>001339</t>
  </si>
  <si>
    <t>智微智能</t>
  </si>
  <si>
    <t>文一科技</t>
  </si>
  <si>
    <t>潜能恒信</t>
  </si>
  <si>
    <t>MA10(29.43)上方，回踩低吸/持有</t>
  </si>
  <si>
    <t>002793</t>
  </si>
  <si>
    <t>罗欣药业</t>
  </si>
  <si>
    <t>MA10(4.82)上方，回踩低吸/持有</t>
  </si>
  <si>
    <t>003032</t>
  </si>
  <si>
    <t>传智教育</t>
  </si>
  <si>
    <t>买点1：明日开盘买入（信号日收盘 11.73，止损-5%）（⚠10日已+96%，涨幅过大勿追）</t>
  </si>
  <si>
    <t>富祥股份</t>
  </si>
  <si>
    <t>002197</t>
  </si>
  <si>
    <t>证通电子</t>
  </si>
  <si>
    <t>MA10(6.84)上方，回踩低吸/持有</t>
  </si>
  <si>
    <t>类型</t>
  </si>
  <si>
    <t>MA10</t>
  </si>
  <si>
    <t>MA20</t>
  </si>
  <si>
    <t>量比</t>
  </si>
  <si>
    <t>10日涨幅(%)</t>
  </si>
  <si>
    <t>买点序号</t>
  </si>
  <si>
    <t>观察池</t>
  </si>
  <si>
    <t>买点2：MA10(32.27)附近缩量企稳，可低吸</t>
  </si>
  <si>
    <t>买点2：MA10(22.59)附近缩量企稳，可低吸</t>
  </si>
  <si>
    <t>买点2：MA10(22.02)附近缩量企稳，可低吸</t>
  </si>
  <si>
    <t>回踩 MA10(15.85)→MA20(15.33)区间，观察企稳</t>
  </si>
  <si>
    <t>买点2：MA10(72.50)附近缩量企稳，可低吸</t>
  </si>
  <si>
    <t>买点2：MA10(21.58)附近缩量企稳，可低吸</t>
  </si>
  <si>
    <t>MA10(14.34)上方，回踩低吸/持有</t>
  </si>
  <si>
    <t>MA10(9.06)上方，回踩低吸/持有</t>
  </si>
  <si>
    <t>明日确认：收&gt;8.89 且 低点≥10.34 → 后日开盘买入（⚠10日已+97%，涨幅过大勿追）</t>
  </si>
  <si>
    <t>明日确认：收&gt;32.88 且 低点≥33.08 → 后日开盘买入</t>
  </si>
  <si>
    <t>MA10(22.76)上方，回踩低吸/持有</t>
  </si>
  <si>
    <t>MA10(22.24)上方，回踩低吸/持有</t>
  </si>
  <si>
    <t>MA10(10.82)上方，回踩低吸/持有</t>
  </si>
  <si>
    <t>明日确认：收&gt;74.02 且 低点≥76.32 → 后日开盘买入</t>
  </si>
  <si>
    <t>MA10(21.70)上方，回踩低吸/持有</t>
  </si>
  <si>
    <t>买点2：MA10(14.45)附近缩量企稳，可低吸</t>
  </si>
  <si>
    <t>明日确认：收&gt;9.78 且 低点≥11.38 → 后日开盘买入（⚠10日已+120%，涨幅过大勿追）</t>
  </si>
  <si>
    <t>新信号</t>
  </si>
  <si>
    <t>000408</t>
  </si>
  <si>
    <t>藏格矿业</t>
  </si>
  <si>
    <t>新信号，待财务评估后入池（先评估再考虑买点）</t>
  </si>
  <si>
    <t>000426</t>
  </si>
  <si>
    <t>兴业银锡</t>
  </si>
  <si>
    <t>000595</t>
  </si>
  <si>
    <t>新能股份</t>
  </si>
  <si>
    <t>000603</t>
  </si>
  <si>
    <t>盛达资源</t>
  </si>
  <si>
    <t>000630</t>
  </si>
  <si>
    <t>铜陵有色</t>
  </si>
  <si>
    <t>000710</t>
  </si>
  <si>
    <t>贝瑞基因</t>
  </si>
  <si>
    <t>000712</t>
  </si>
  <si>
    <t>锦龙股份</t>
  </si>
  <si>
    <t>000739</t>
  </si>
  <si>
    <t>普洛药业</t>
  </si>
  <si>
    <t>000820</t>
  </si>
  <si>
    <t>神雾节能</t>
  </si>
  <si>
    <t>000981</t>
  </si>
  <si>
    <t>山子高科</t>
  </si>
  <si>
    <t>001337</t>
  </si>
  <si>
    <t>四川黄金</t>
  </si>
  <si>
    <t>002131</t>
  </si>
  <si>
    <t>利欧股份</t>
  </si>
  <si>
    <t>002181</t>
  </si>
  <si>
    <t>粤 传 媒</t>
  </si>
  <si>
    <t>002291</t>
  </si>
  <si>
    <t>遥望科技</t>
  </si>
  <si>
    <t>002303</t>
  </si>
  <si>
    <t>美盈森</t>
  </si>
  <si>
    <t>002355</t>
  </si>
  <si>
    <t>兴民智通</t>
  </si>
  <si>
    <t>002425</t>
  </si>
  <si>
    <t>凯撒文化</t>
  </si>
  <si>
    <t>002530</t>
  </si>
  <si>
    <t>金财互联</t>
  </si>
  <si>
    <t>002607</t>
  </si>
  <si>
    <t>中公教育</t>
  </si>
  <si>
    <t>002649</t>
  </si>
  <si>
    <t>博彦科技</t>
  </si>
  <si>
    <t>002659</t>
  </si>
  <si>
    <t>凯文教育</t>
  </si>
  <si>
    <t>002703</t>
  </si>
  <si>
    <t>浙江世宝</t>
  </si>
  <si>
    <t>002721</t>
  </si>
  <si>
    <t>金一文化</t>
  </si>
  <si>
    <t>002766</t>
  </si>
  <si>
    <t>索菱股份</t>
  </si>
  <si>
    <t>002827</t>
  </si>
  <si>
    <t>高争民爆</t>
  </si>
  <si>
    <t>002908</t>
  </si>
  <si>
    <t>德生科技</t>
  </si>
  <si>
    <t>002912</t>
  </si>
  <si>
    <t>中新赛克</t>
  </si>
  <si>
    <t>002998</t>
  </si>
  <si>
    <t>优彩资源</t>
  </si>
  <si>
    <t>蓝色光标</t>
  </si>
  <si>
    <t>晓程科技</t>
  </si>
  <si>
    <t>捷成股份</t>
  </si>
  <si>
    <t>国投智能</t>
  </si>
  <si>
    <t>长荣股份</t>
  </si>
  <si>
    <t>行云科技</t>
  </si>
  <si>
    <t>拓尔思</t>
  </si>
  <si>
    <t>新开普</t>
  </si>
  <si>
    <t>楚天科技</t>
  </si>
  <si>
    <t>万集科技</t>
  </si>
  <si>
    <t>欣天科技</t>
  </si>
  <si>
    <t>超频三</t>
  </si>
  <si>
    <t>因赛集团</t>
  </si>
  <si>
    <t>盈建科</t>
  </si>
  <si>
    <t>浩通科技</t>
  </si>
  <si>
    <t>义翘神州</t>
  </si>
  <si>
    <t>久盛电气</t>
  </si>
  <si>
    <t>中科磁业</t>
  </si>
  <si>
    <t>通灵股份</t>
  </si>
  <si>
    <t>工大科雅</t>
  </si>
  <si>
    <t>汉仪股份</t>
  </si>
  <si>
    <t>致欧科技</t>
  </si>
  <si>
    <t>青山纸业</t>
  </si>
  <si>
    <t>波导股份</t>
  </si>
  <si>
    <t>长城电工</t>
  </si>
  <si>
    <t>江西铜业</t>
  </si>
  <si>
    <t>百利电气</t>
  </si>
  <si>
    <t>山东黄金</t>
  </si>
  <si>
    <t>天下秀</t>
  </si>
  <si>
    <t>大众交通</t>
  </si>
  <si>
    <t>华建集团</t>
  </si>
  <si>
    <t>锦江在线</t>
  </si>
  <si>
    <t>天目药业</t>
  </si>
  <si>
    <t>南宁百货</t>
  </si>
  <si>
    <t>百花医药</t>
  </si>
  <si>
    <t>厦工股份</t>
  </si>
  <si>
    <t>大晟文化</t>
  </si>
  <si>
    <t>白银有色</t>
  </si>
  <si>
    <t>风范股份</t>
  </si>
  <si>
    <t>中国科传</t>
  </si>
  <si>
    <t>招商轮船</t>
  </si>
  <si>
    <t>永吉股份</t>
  </si>
  <si>
    <t>恒银科技</t>
  </si>
  <si>
    <t>金徽股份</t>
  </si>
  <si>
    <t>嘉环科技</t>
  </si>
  <si>
    <t>药明康德</t>
  </si>
  <si>
    <t>引力传媒</t>
  </si>
  <si>
    <t>今创集团</t>
  </si>
  <si>
    <t>锦和商管</t>
  </si>
  <si>
    <t>中广天择</t>
  </si>
  <si>
    <t>佳力图</t>
  </si>
  <si>
    <t>中电电机</t>
  </si>
  <si>
    <t>行动教育</t>
  </si>
  <si>
    <t>西大门</t>
  </si>
  <si>
    <t>一鸣食品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</si>
</sst>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\-mm\-dd"/>
    <numFmt numFmtId="177" formatCode="0.0"/>
    <numFmt numFmtId="178" formatCode="0.00&quot;%&quot;"/>
    <numFmt numFmtId="179" formatCode="0.0&quot;%&quot;"/>
  </numFmts>
  <fonts count="15" x14ac:knownFonts="1">
    <font>
      <sz val="11"/>
      <name val="Calibri"/>
    </font>
    <font>
      <sz val="11"/>
      <color rgb="FFE6EDF3"/>
      <name val="Consolas"/>
      <family val="3"/>
    </font>
    <font>
      <b/>
      <sz val="11"/>
      <color rgb="FF1F4E79"/>
      <name val="Consolas"/>
      <family val="3"/>
    </font>
    <font>
      <sz val="10"/>
      <color rgb="FF808080"/>
      <name val="Consolas"/>
      <family val="3"/>
    </font>
    <font>
      <sz val="9"/>
      <color rgb="FFA6A6A6"/>
      <name val="Consolas"/>
      <family val="3"/>
    </font>
    <font>
      <sz val="9"/>
      <color rgb="FF666666"/>
      <name val="Consolas"/>
      <family val="3"/>
    </font>
    <font>
      <b/>
      <sz val="13"/>
      <color rgb="FF39D2C0"/>
      <name val="Consolas"/>
      <family val="3"/>
    </font>
    <font>
      <b/>
      <sz val="9"/>
      <color rgb="FF8B949E"/>
      <name val="Consolas"/>
      <family val="3"/>
    </font>
    <font>
      <b/>
      <sz val="28"/>
      <color rgb="FFFFFFFF"/>
      <name val="Consolas"/>
      <family val="3"/>
    </font>
    <font>
      <b/>
      <sz val="11"/>
      <color rgb="FF39D2C0"/>
      <name val="Consolas"/>
      <family val="3"/>
    </font>
    <font>
      <b/>
      <sz val="10"/>
      <color rgb="FF8B949E"/>
      <name val="Consolas"/>
      <family val="3"/>
    </font>
    <font>
      <sz val="10"/>
      <color rgb="FFE6EDF3"/>
      <name val="Consolas"/>
      <family val="3"/>
    </font>
    <font>
      <sz val="9"/>
      <color rgb="FF6E7681"/>
      <name val="Consolas"/>
      <family val="3"/>
    </font>
    <font>
      <b/>
      <sz val="11"/>
      <color rgb="FFFFFFFF"/>
      <name val="Consolas"/>
      <family val="3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0D1117"/>
        <bgColor rgb="FF0D1117"/>
      </patternFill>
    </fill>
    <fill>
      <patternFill patternType="solid">
        <fgColor rgb="FF0F1826"/>
        <bgColor rgb="FF0F1826"/>
      </patternFill>
    </fill>
    <fill>
      <patternFill patternType="solid">
        <fgColor rgb="FF161B22"/>
        <bgColor rgb="FF161B22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  <border>
      <left/>
      <right/>
      <top/>
      <bottom style="thin">
        <color rgb="FF30363D"/>
      </bottom>
      <diagonal/>
    </border>
    <border>
      <left/>
      <right/>
      <top/>
      <bottom style="hair">
        <color rgb="FF21262D"/>
      </bottom>
      <diagonal/>
    </border>
    <border>
      <left/>
      <right/>
      <top style="hair">
        <color rgb="FF21262D"/>
      </top>
      <bottom/>
      <diagonal/>
    </border>
    <border>
      <left/>
      <right/>
      <top/>
      <bottom style="thin">
        <color rgb="FF58A6FF"/>
      </bottom>
      <diagonal/>
    </border>
    <border>
      <left style="thin">
        <color rgb="FFCCCCFF"/>
      </left>
      <right style="thin">
        <color rgb="FFCCCCFF"/>
      </right>
      <top/>
      <bottom style="thin">
        <color rgb="FFCCCCFF"/>
      </bottom>
      <diagonal/>
    </border>
    <border>
      <left/>
      <right/>
      <top/>
      <bottom style="thin">
        <color rgb="FFCCCCFF"/>
      </bottom>
      <diagonal/>
    </border>
    <border>
      <left/>
      <right style="thin">
        <color rgb="FFCCCCFF"/>
      </right>
      <top/>
      <bottom style="thin">
        <color rgb="FFCCCCFF"/>
      </bottom>
      <diagonal/>
    </border>
    <border>
      <left style="thin">
        <color rgb="FFCCCCFF"/>
      </left>
      <right style="thin">
        <color rgb="FFCCCCFF"/>
      </right>
      <top style="thin">
        <color rgb="FFCCECFF"/>
      </top>
      <bottom style="thin">
        <color rgb="FFCCECFF"/>
      </bottom>
      <diagonal/>
    </border>
    <border>
      <left/>
      <right/>
      <top style="thin">
        <color rgb="FFCCECFF"/>
      </top>
      <bottom style="thin">
        <color rgb="FFCCECFF"/>
      </bottom>
      <diagonal/>
    </border>
    <border>
      <left/>
      <right style="thin">
        <color rgb="FFCCECFF"/>
      </right>
      <top style="thin">
        <color rgb="FFCCECFF"/>
      </top>
      <bottom style="thin">
        <color rgb="FFCCECFF"/>
      </bottom>
      <diagonal/>
    </border>
    <border>
      <left/>
      <right style="thin">
        <color rgb="FFCCCCFF"/>
      </right>
      <top style="thin">
        <color rgb="FFCCCCFF"/>
      </top>
      <bottom style="thin">
        <color rgb="FFCCECFF"/>
      </bottom>
      <diagonal/>
    </border>
    <border>
      <left/>
      <right style="thin">
        <color rgb="FFCCCCFF"/>
      </right>
      <top/>
      <bottom/>
      <diagonal/>
    </border>
    <border>
      <left style="thin">
        <color rgb="FFCCCCFF"/>
      </left>
      <right style="thin">
        <color rgb="FFCCCCFF"/>
      </right>
      <top/>
      <bottom/>
      <diagonal/>
    </border>
    <border>
      <left/>
      <right/>
      <top style="thin">
        <color rgb="FFCCCCFF"/>
      </top>
      <bottom style="thin">
        <color rgb="FFCCECF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ECFF"/>
      </bottom>
      <diagonal/>
    </border>
    <border>
      <left/>
      <right style="thin">
        <color rgb="FFCCECFF"/>
      </right>
      <top style="thin">
        <color rgb="FFCCCCFF"/>
      </top>
      <bottom style="thin">
        <color rgb="FFCCECFF"/>
      </bottom>
      <diagonal/>
    </border>
    <border>
      <left/>
      <right style="thin">
        <color rgb="FFCCECFF"/>
      </right>
      <top/>
      <bottom/>
      <diagonal/>
    </border>
    <border>
      <left/>
      <right style="thin">
        <color rgb="FFCCECFF"/>
      </right>
      <top/>
      <bottom style="thin">
        <color rgb="FFCCCCFF"/>
      </bottom>
      <diagonal/>
    </border>
    <border>
      <left style="thin">
        <color rgb="FFCCCCFF"/>
      </left>
      <right/>
      <top style="thin">
        <color rgb="FFCCCCFF"/>
      </top>
      <bottom style="thin">
        <color rgb="FFCCCCFF"/>
      </bottom>
      <diagonal/>
    </border>
    <border>
      <left/>
      <right/>
      <top style="thin">
        <color rgb="FFCCCCFF"/>
      </top>
      <bottom style="thin">
        <color rgb="FFCCCCFF"/>
      </bottom>
      <diagonal/>
    </border>
    <border>
      <left/>
      <right style="thin">
        <color rgb="FFCCCCFF"/>
      </right>
      <top style="thin">
        <color rgb="FFCCCCFF"/>
      </top>
      <bottom style="thin">
        <color rgb="FFCCCCFF"/>
      </bottom>
      <diagonal/>
    </border>
    <border>
      <left/>
      <right style="mediumDashed">
        <color theme="3" tint="0.79998168889431442"/>
      </right>
      <top/>
      <bottom/>
      <diagonal/>
    </border>
    <border>
      <left/>
      <right/>
      <top style="mediumDashed">
        <color theme="3" tint="0.79998168889431442"/>
      </top>
      <bottom/>
      <diagonal/>
    </border>
    <border>
      <left/>
      <right style="mediumDashed">
        <color theme="3" tint="0.79998168889431442"/>
      </right>
      <top/>
      <bottom style="medium">
        <color rgb="FF58A6FF"/>
      </bottom>
      <diagonal/>
    </border>
    <border>
      <left style="mediumDashed">
        <color theme="3" tint="0.79998168889431442"/>
      </left>
      <right style="mediumDashed">
        <color theme="3" tint="0.79998168889431442"/>
      </right>
      <top/>
      <bottom/>
      <diagonal/>
    </border>
    <border>
      <left style="mediumDashed">
        <color theme="3" tint="0.79998168889431442"/>
      </left>
      <right style="mediumDashed">
        <color theme="3" tint="0.79998168889431442"/>
      </right>
      <top style="mediumDashed">
        <color theme="3" tint="0.79998168889431442"/>
      </top>
      <bottom/>
      <diagonal/>
    </border>
    <border>
      <left style="mediumDashed">
        <color theme="3" tint="0.79998168889431442"/>
      </left>
      <right style="mediumDashed">
        <color theme="3" tint="0.79998168889431442"/>
      </right>
      <top/>
      <bottom style="medium">
        <color rgb="FF39D2C0"/>
      </bottom>
      <diagonal/>
    </border>
    <border>
      <left style="mediumDashed">
        <color theme="3" tint="0.79998168889431442"/>
      </left>
      <right style="mediumDashed">
        <color theme="3" tint="0.79998168889431442"/>
      </right>
      <top/>
      <bottom style="medium">
        <color rgb="FFD29922"/>
      </bottom>
      <diagonal/>
    </border>
    <border>
      <left style="mediumDashed">
        <color theme="3" tint="0.79998168889431442"/>
      </left>
      <right style="mediumDashed">
        <color theme="3" tint="0.79998168889431442"/>
      </right>
      <top/>
      <bottom style="medium">
        <color rgb="FF58A6FF"/>
      </bottom>
      <diagonal/>
    </border>
    <border>
      <left/>
      <right/>
      <top/>
      <bottom style="medium">
        <color rgb="FF3FB950"/>
      </bottom>
      <diagonal/>
    </border>
    <border>
      <left style="mediumDashed">
        <color theme="3" tint="0.79998168889431442"/>
      </left>
      <right/>
      <top style="mediumDashed">
        <color theme="3" tint="0.79998168889431442"/>
      </top>
      <bottom/>
      <diagonal/>
    </border>
    <border>
      <left style="mediumDashed">
        <color theme="3" tint="0.79998168889431442"/>
      </left>
      <right style="mediumDashed">
        <color theme="3" tint="0.79998168889431442"/>
      </right>
      <top/>
      <bottom style="medium">
        <color rgb="FF3FB950"/>
      </bottom>
      <diagonal/>
    </border>
  </borders>
  <cellStyleXfs count="1">
    <xf numFmtId="0" fontId="0" fillId="0" borderId="0"/>
  </cellStyleXfs>
  <cellXfs count="93">
    <xf numFmtId="0" fontId="0" fillId="0" borderId="0" xfId="0"/>
    <xf numFmtId="177" fontId="0" fillId="0" borderId="0" xfId="0" applyNumberFormat="1"/>
    <xf numFmtId="178" fontId="0" fillId="0" borderId="0" xfId="0" applyNumberFormat="1"/>
    <xf numFmtId="2" fontId="0" fillId="0" borderId="0" xfId="0" applyNumberFormat="1"/>
    <xf numFmtId="179" fontId="0" fillId="0" borderId="0" xfId="0" applyNumberFormat="1"/>
    <xf numFmtId="0" fontId="0" fillId="2" borderId="0" xfId="0" applyFill="1"/>
    <xf numFmtId="0" fontId="1" fillId="3" borderId="0" xfId="0" applyFont="1" applyFill="1"/>
    <xf numFmtId="0" fontId="1" fillId="3" borderId="2" xfId="0" applyFont="1" applyFill="1" applyBorder="1"/>
    <xf numFmtId="0" fontId="3" fillId="3" borderId="0" xfId="0" applyFont="1" applyFill="1"/>
    <xf numFmtId="0" fontId="4" fillId="3" borderId="0" xfId="0" applyFont="1" applyFill="1"/>
    <xf numFmtId="0" fontId="12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8" fontId="1" fillId="5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77" fontId="1" fillId="3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left" vertical="center" wrapText="1"/>
    </xf>
    <xf numFmtId="176" fontId="9" fillId="3" borderId="3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1" fontId="1" fillId="5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1" fillId="3" borderId="1" xfId="0" applyFont="1" applyFill="1" applyBorder="1"/>
    <xf numFmtId="0" fontId="12" fillId="3" borderId="0" xfId="0" applyFont="1" applyFill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1" fillId="5" borderId="4" xfId="0" applyFont="1" applyFill="1" applyBorder="1" applyAlignment="1">
      <alignment horizontal="left" vertical="center" wrapText="1"/>
    </xf>
    <xf numFmtId="177" fontId="1" fillId="5" borderId="4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 wrapText="1"/>
    </xf>
    <xf numFmtId="177" fontId="1" fillId="5" borderId="4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177" fontId="1" fillId="3" borderId="4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177" fontId="1" fillId="3" borderId="4" xfId="0" applyNumberFormat="1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176" fontId="1" fillId="5" borderId="4" xfId="0" applyNumberFormat="1" applyFont="1" applyFill="1" applyBorder="1" applyAlignment="1">
      <alignment horizontal="left" vertical="center" wrapText="1"/>
    </xf>
    <xf numFmtId="176" fontId="1" fillId="3" borderId="4" xfId="0" applyNumberFormat="1" applyFont="1" applyFill="1" applyBorder="1" applyAlignment="1">
      <alignment horizontal="left" vertical="center" wrapText="1"/>
    </xf>
    <xf numFmtId="177" fontId="1" fillId="3" borderId="1" xfId="0" applyNumberFormat="1" applyFont="1" applyFill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right" vertical="center"/>
    </xf>
    <xf numFmtId="0" fontId="1" fillId="3" borderId="0" xfId="0" applyFont="1" applyFill="1"/>
    <xf numFmtId="0" fontId="11" fillId="3" borderId="7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177" fontId="11" fillId="3" borderId="8" xfId="0" applyNumberFormat="1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1" fillId="3" borderId="9" xfId="0" applyFont="1" applyFill="1" applyBorder="1"/>
    <xf numFmtId="0" fontId="1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/>
    <xf numFmtId="0" fontId="11" fillId="3" borderId="0" xfId="0" applyFont="1" applyFill="1" applyBorder="1" applyAlignment="1">
      <alignment horizontal="left" vertical="center" wrapText="1"/>
    </xf>
    <xf numFmtId="0" fontId="1" fillId="3" borderId="12" xfId="0" applyFont="1" applyFill="1" applyBorder="1"/>
    <xf numFmtId="0" fontId="1" fillId="3" borderId="0" xfId="0" applyFont="1" applyFill="1" applyBorder="1"/>
    <xf numFmtId="0" fontId="1" fillId="3" borderId="14" xfId="0" applyFont="1" applyFill="1" applyBorder="1"/>
    <xf numFmtId="0" fontId="11" fillId="3" borderId="15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" fillId="3" borderId="16" xfId="0" applyFont="1" applyFill="1" applyBorder="1"/>
    <xf numFmtId="0" fontId="1" fillId="3" borderId="13" xfId="0" applyFont="1" applyFill="1" applyBorder="1"/>
    <xf numFmtId="0" fontId="10" fillId="3" borderId="17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" fillId="3" borderId="18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177" fontId="11" fillId="3" borderId="0" xfId="0" applyNumberFormat="1" applyFont="1" applyFill="1" applyBorder="1" applyAlignment="1">
      <alignment horizontal="left" vertical="center" wrapText="1"/>
    </xf>
    <xf numFmtId="177" fontId="11" fillId="3" borderId="11" xfId="0" applyNumberFormat="1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horizontal="left" vertical="center"/>
    </xf>
    <xf numFmtId="0" fontId="1" fillId="3" borderId="22" xfId="0" applyFont="1" applyFill="1" applyBorder="1"/>
    <xf numFmtId="0" fontId="1" fillId="3" borderId="23" xfId="0" applyFont="1" applyFill="1" applyBorder="1"/>
    <xf numFmtId="0" fontId="6" fillId="4" borderId="0" xfId="0" applyFont="1" applyFill="1" applyBorder="1" applyAlignment="1">
      <alignment horizontal="center" vertical="center" wrapText="1"/>
    </xf>
    <xf numFmtId="1" fontId="7" fillId="5" borderId="25" xfId="0" applyNumberFormat="1" applyFont="1" applyFill="1" applyBorder="1" applyAlignment="1">
      <alignment horizontal="center" vertical="top" wrapText="1"/>
    </xf>
    <xf numFmtId="1" fontId="8" fillId="5" borderId="26" xfId="0" applyNumberFormat="1" applyFont="1" applyFill="1" applyBorder="1" applyAlignment="1">
      <alignment horizontal="center" vertical="center" wrapText="1"/>
    </xf>
    <xf numFmtId="0" fontId="1" fillId="3" borderId="24" xfId="0" applyFont="1" applyFill="1" applyBorder="1"/>
    <xf numFmtId="0" fontId="1" fillId="3" borderId="27" xfId="0" applyFont="1" applyFill="1" applyBorder="1"/>
    <xf numFmtId="1" fontId="7" fillId="5" borderId="28" xfId="0" applyNumberFormat="1" applyFont="1" applyFill="1" applyBorder="1" applyAlignment="1">
      <alignment horizontal="center" vertical="top" wrapText="1"/>
    </xf>
    <xf numFmtId="1" fontId="8" fillId="5" borderId="29" xfId="0" applyNumberFormat="1" applyFont="1" applyFill="1" applyBorder="1" applyAlignment="1">
      <alignment horizontal="center" vertical="center" wrapText="1"/>
    </xf>
    <xf numFmtId="1" fontId="8" fillId="5" borderId="30" xfId="0" applyNumberFormat="1" applyFont="1" applyFill="1" applyBorder="1" applyAlignment="1">
      <alignment horizontal="center" vertical="center" wrapText="1"/>
    </xf>
    <xf numFmtId="177" fontId="7" fillId="5" borderId="28" xfId="0" applyNumberFormat="1" applyFont="1" applyFill="1" applyBorder="1" applyAlignment="1">
      <alignment horizontal="center" vertical="top" wrapText="1"/>
    </xf>
    <xf numFmtId="177" fontId="8" fillId="5" borderId="31" xfId="0" applyNumberFormat="1" applyFont="1" applyFill="1" applyBorder="1" applyAlignment="1">
      <alignment horizontal="center" vertical="center" wrapText="1"/>
    </xf>
    <xf numFmtId="2" fontId="8" fillId="5" borderId="32" xfId="0" applyNumberFormat="1" applyFont="1" applyFill="1" applyBorder="1" applyAlignment="1">
      <alignment horizontal="center" vertical="center" wrapText="1"/>
    </xf>
    <xf numFmtId="178" fontId="7" fillId="5" borderId="33" xfId="0" applyNumberFormat="1" applyFont="1" applyFill="1" applyBorder="1" applyAlignment="1">
      <alignment horizontal="center" vertical="top" wrapText="1"/>
    </xf>
    <xf numFmtId="1" fontId="8" fillId="5" borderId="34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/>
  </cellXfs>
  <cellStyles count="1">
    <cellStyle name="一般" xfId="0" builtinId="0"/>
  </cellStyles>
  <dxfs count="22">
    <dxf>
      <font>
        <b/>
        <sz val="11"/>
        <color rgb="FFD29922"/>
        <name val="Consolas"/>
      </font>
      <fill>
        <patternFill patternType="solid">
          <fgColor rgb="FF2D2412"/>
          <bgColor rgb="FF2D2412"/>
        </patternFill>
      </fill>
    </dxf>
    <dxf>
      <font>
        <b/>
        <sz val="11"/>
        <color rgb="FFF85149"/>
        <name val="Consolas"/>
      </font>
      <fill>
        <patternFill patternType="solid">
          <fgColor rgb="FF2D171A"/>
          <bgColor rgb="FF2D171A"/>
        </patternFill>
      </fill>
    </dxf>
    <dxf>
      <font>
        <b/>
        <sz val="11"/>
        <color rgb="FF58A6FF"/>
        <name val="Consolas"/>
      </font>
      <fill>
        <patternFill patternType="solid">
          <fgColor rgb="FF152230"/>
          <bgColor rgb="FF152230"/>
        </patternFill>
      </fill>
    </dxf>
    <dxf>
      <font>
        <b/>
        <sz val="11"/>
        <color rgb="FF3FB950"/>
        <name val="Consolas"/>
      </font>
      <fill>
        <patternFill patternType="solid">
          <fgColor rgb="FF15291E"/>
          <bgColor rgb="FF15291E"/>
        </patternFill>
      </fill>
    </dxf>
    <dxf>
      <font>
        <sz val="11"/>
        <color rgb="FFF85149"/>
        <name val="Consolas"/>
      </font>
      <fill>
        <patternFill patternType="solid">
          <fgColor rgb="FF2D1518"/>
          <bgColor rgb="FF2D1518"/>
        </patternFill>
      </fill>
    </dxf>
    <dxf>
      <font>
        <sz val="11"/>
        <color rgb="FF3FB950"/>
        <name val="Consolas"/>
      </font>
      <fill>
        <patternFill patternType="solid">
          <fgColor rgb="FF15261E"/>
          <bgColor rgb="FF15261E"/>
        </patternFill>
      </fill>
    </dxf>
    <dxf>
      <font>
        <sz val="11"/>
        <color rgb="FFF85149"/>
        <name val="Consolas"/>
      </font>
      <fill>
        <patternFill patternType="solid">
          <fgColor rgb="FF2D1518"/>
          <bgColor rgb="FF2D1518"/>
        </patternFill>
      </fill>
    </dxf>
    <dxf>
      <font>
        <sz val="11"/>
        <color rgb="FF3FB950"/>
        <name val="Consolas"/>
      </font>
      <fill>
        <patternFill patternType="solid">
          <fgColor rgb="FF15261E"/>
          <bgColor rgb="FF15261E"/>
        </patternFill>
      </fill>
    </dxf>
    <dxf>
      <font>
        <sz val="11"/>
        <color rgb="FFF85149"/>
        <name val="Consolas"/>
      </font>
      <fill>
        <patternFill patternType="solid">
          <fgColor rgb="FF2D1518"/>
          <bgColor rgb="FF2D1518"/>
        </patternFill>
      </fill>
    </dxf>
    <dxf>
      <font>
        <sz val="11"/>
        <color rgb="FF3FB950"/>
        <name val="Consolas"/>
      </font>
      <fill>
        <patternFill patternType="solid">
          <fgColor rgb="FF15261E"/>
          <bgColor rgb="FF15261E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color rgb="FF9C6500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sz val="11"/>
        <color rgb="FFD29922"/>
        <name val="Consolas"/>
      </font>
      <fill>
        <patternFill patternType="solid">
          <fgColor rgb="FF2D2412"/>
          <bgColor rgb="FF2D2412"/>
        </patternFill>
      </fill>
    </dxf>
    <dxf>
      <font>
        <b/>
        <sz val="11"/>
        <color rgb="FFF85149"/>
        <name val="Consolas"/>
      </font>
      <fill>
        <patternFill patternType="solid">
          <fgColor rgb="FF2D171A"/>
          <bgColor rgb="FF2D171A"/>
        </patternFill>
      </fill>
    </dxf>
    <dxf>
      <font>
        <b/>
        <sz val="11"/>
        <color rgb="FF58A6FF"/>
        <name val="Consolas"/>
      </font>
      <fill>
        <patternFill patternType="solid">
          <fgColor rgb="FF152230"/>
          <bgColor rgb="FF152230"/>
        </patternFill>
      </fill>
    </dxf>
    <dxf>
      <font>
        <b/>
        <sz val="11"/>
        <color rgb="FF3FB950"/>
        <name val="Consolas"/>
      </font>
      <fill>
        <patternFill patternType="solid">
          <fgColor rgb="FF15291E"/>
          <bgColor rgb="FF15291E"/>
        </patternFill>
      </fill>
    </dxf>
    <dxf>
      <font>
        <sz val="11"/>
        <color rgb="FFF85149"/>
        <name val="Consolas"/>
      </font>
      <fill>
        <patternFill patternType="solid">
          <fgColor rgb="FF2D1518"/>
          <bgColor rgb="FF2D1518"/>
        </patternFill>
      </fill>
    </dxf>
    <dxf>
      <font>
        <sz val="11"/>
        <color rgb="FF3FB950"/>
        <name val="Consolas"/>
      </font>
      <fill>
        <patternFill patternType="solid">
          <fgColor rgb="FF15261E"/>
          <bgColor rgb="FF15261E"/>
        </patternFill>
      </fill>
    </dxf>
    <dxf>
      <font>
        <b/>
        <sz val="28"/>
        <color rgb="FFD29922"/>
        <name val="Consolas"/>
      </font>
    </dxf>
    <dxf>
      <font>
        <color rgb="FF2E7D32"/>
      </font>
    </dxf>
    <dxf>
      <font>
        <color rgb="FFC62828"/>
      </font>
    </dxf>
  </dxfs>
  <tableStyles count="0" defaultTableStyle="TableStyleMedium2" defaultPivotStyle="PivotStyleLight16"/>
  <colors>
    <mruColors>
      <color rgb="FFCC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sz="1100" b="1">
                <a:latin typeface="Consolas"/>
              </a:defRPr>
            </a:pPr>
            <a:r>
              <a:rPr lang="en-US" sz="1100" b="1">
                <a:solidFill>
                  <a:srgbClr val="E6EDF3"/>
                </a:solidFill>
              </a:rPr>
              <a:t>观察池平均涨跌幅（三日）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平均涨跌幅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Summary!$L$2:$L$4</c:f>
              <c:strCache>
                <c:ptCount val="3"/>
                <c:pt idx="0">
                  <c:v>2026-08-04</c:v>
                </c:pt>
                <c:pt idx="1">
                  <c:v>2026-08-05</c:v>
                </c:pt>
                <c:pt idx="2">
                  <c:v>2026-08-06</c:v>
                </c:pt>
              </c:strCache>
            </c:strRef>
          </c:cat>
          <c:val>
            <c:numRef>
              <c:f>Summary!$D$2:$D$4</c:f>
              <c:numCache>
                <c:formatCode>0.00"%"</c:formatCode>
                <c:ptCount val="3"/>
                <c:pt idx="0">
                  <c:v>4.6637445982079022</c:v>
                </c:pt>
                <c:pt idx="1">
                  <c:v>5.2695032599928746</c:v>
                </c:pt>
                <c:pt idx="2">
                  <c:v>3.0845744618450102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8D-4007-BD6D-730FEA9BB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 w="9525">
              <a:solidFill>
                <a:srgbClr val="21262D"/>
              </a:solidFill>
            </a:ln>
          </c:spPr>
        </c:majorGridlines>
        <c:numFmt formatCode="0.0&quot;%&quot;" sourceLinked="0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1"/>
        <c:crosses val="autoZero"/>
        <c:crossBetween val="between"/>
      </c:valAx>
      <c:spPr>
        <a:solidFill>
          <a:srgbClr val="0D1117"/>
        </a:solidFill>
      </c:spPr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8B949E"/>
              </a:solidFill>
              <a:latin typeface="Consolas"/>
              <a:ea typeface="Microsoft YaHe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0D1117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sz="1100" b="1">
                <a:latin typeface="Consolas"/>
              </a:defRPr>
            </a:pPr>
            <a:r>
              <a:rPr lang="en-US" sz="1100" b="1">
                <a:solidFill>
                  <a:srgbClr val="E6EDF3"/>
                </a:solidFill>
              </a:rPr>
              <a:t>观察池综合分 Top 10（08-06）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综合分&gt;80</c:v>
          </c:tx>
          <c:spPr>
            <a:solidFill>
              <a:srgbClr val="39D2C0"/>
            </a:solidFill>
            <a:ln>
              <a:noFill/>
              <a:prstDash val="solid"/>
            </a:ln>
          </c:spPr>
          <c:invertIfNegative val="0"/>
          <c:cat>
            <c:strRef>
              <c:f>Watch!$B$2:$B$11</c:f>
              <c:strCache>
                <c:ptCount val="10"/>
                <c:pt idx="0">
                  <c:v>中钨高新</c:v>
                </c:pt>
                <c:pt idx="1">
                  <c:v>兆易创新</c:v>
                </c:pt>
                <c:pt idx="2">
                  <c:v>紫金矿业</c:v>
                </c:pt>
                <c:pt idx="3">
                  <c:v>金海通</c:v>
                </c:pt>
                <c:pt idx="4">
                  <c:v>海思科</c:v>
                </c:pt>
                <c:pt idx="5">
                  <c:v>德明利</c:v>
                </c:pt>
                <c:pt idx="6">
                  <c:v>山金国际</c:v>
                </c:pt>
                <c:pt idx="7">
                  <c:v>江丰电子</c:v>
                </c:pt>
                <c:pt idx="8">
                  <c:v>长飞光纤</c:v>
                </c:pt>
                <c:pt idx="9">
                  <c:v>博云新材</c:v>
                </c:pt>
              </c:strCache>
            </c:strRef>
          </c:cat>
          <c:val>
            <c:numRef>
              <c:f>Watch!$H$2:$H$11</c:f>
              <c:numCache>
                <c:formatCode>0.0</c:formatCode>
                <c:ptCount val="10"/>
                <c:pt idx="0">
                  <c:v>86.3</c:v>
                </c:pt>
                <c:pt idx="1">
                  <c:v>86.3</c:v>
                </c:pt>
                <c:pt idx="2">
                  <c:v>81.8</c:v>
                </c:pt>
                <c:pt idx="3">
                  <c:v>81.400000000000006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4-49D6-91D8-37019F40469C}"/>
            </c:ext>
          </c:extLst>
        </c:ser>
        <c:ser>
          <c:idx val="1"/>
          <c:order val="1"/>
          <c:tx>
            <c:v>75&lt;综合分≤80</c:v>
          </c:tx>
          <c:spPr>
            <a:solidFill>
              <a:srgbClr val="BC8CFF"/>
            </a:solidFill>
            <a:ln>
              <a:noFill/>
              <a:prstDash val="solid"/>
            </a:ln>
          </c:spPr>
          <c:invertIfNegative val="0"/>
          <c:cat>
            <c:strRef>
              <c:f>Watch!$B$2:$B$11</c:f>
              <c:strCache>
                <c:ptCount val="10"/>
                <c:pt idx="0">
                  <c:v>中钨高新</c:v>
                </c:pt>
                <c:pt idx="1">
                  <c:v>兆易创新</c:v>
                </c:pt>
                <c:pt idx="2">
                  <c:v>紫金矿业</c:v>
                </c:pt>
                <c:pt idx="3">
                  <c:v>金海通</c:v>
                </c:pt>
                <c:pt idx="4">
                  <c:v>海思科</c:v>
                </c:pt>
                <c:pt idx="5">
                  <c:v>德明利</c:v>
                </c:pt>
                <c:pt idx="6">
                  <c:v>山金国际</c:v>
                </c:pt>
                <c:pt idx="7">
                  <c:v>江丰电子</c:v>
                </c:pt>
                <c:pt idx="8">
                  <c:v>长飞光纤</c:v>
                </c:pt>
                <c:pt idx="9">
                  <c:v>博云新材</c:v>
                </c:pt>
              </c:strCache>
            </c:strRef>
          </c:cat>
          <c:val>
            <c:numRef>
              <c:f>Watch!$I$2:$I$11</c:f>
              <c:numCache>
                <c:formatCode>0.0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79.599999999999994</c:v>
                </c:pt>
                <c:pt idx="5">
                  <c:v>78.5</c:v>
                </c:pt>
                <c:pt idx="6">
                  <c:v>78.2</c:v>
                </c:pt>
                <c:pt idx="7">
                  <c:v>77.5</c:v>
                </c:pt>
                <c:pt idx="8">
                  <c:v>77.5</c:v>
                </c:pt>
                <c:pt idx="9">
                  <c:v>77.3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4-49D6-91D8-37019F404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  <c:min val="65"/>
        </c:scaling>
        <c:delete val="0"/>
        <c:axPos val="l"/>
        <c:majorGridlines>
          <c:spPr>
            <a:ln w="9525">
              <a:solidFill>
                <a:srgbClr val="21262D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1"/>
        <c:crosses val="autoZero"/>
        <c:crossBetween val="between"/>
      </c:valAx>
      <c:spPr>
        <a:solidFill>
          <a:srgbClr val="0D1117"/>
        </a:solidFill>
      </c:spPr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8B949E"/>
              </a:solidFill>
              <a:latin typeface="Consolas"/>
              <a:ea typeface="Microsoft YaHe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0D1117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title>
      <c:tx>
        <c:rich>
          <a:bodyPr/>
          <a:lstStyle/>
          <a:p>
            <a:pPr>
              <a:defRPr sz="1100" b="1">
                <a:latin typeface="Consolas"/>
              </a:defRPr>
            </a:pPr>
            <a:r>
              <a:rPr lang="en-US" sz="1100" b="1">
                <a:solidFill>
                  <a:srgbClr val="E6EDF3"/>
                </a:solidFill>
              </a:rPr>
              <a:t>持仓收益曲线（紫金矿业）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持仓盈亏%</c:v>
          </c:tx>
          <c:spPr>
            <a:ln w="28575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Summary!$L$2:$L$4</c:f>
              <c:strCache>
                <c:ptCount val="3"/>
                <c:pt idx="0">
                  <c:v>2026-08-04</c:v>
                </c:pt>
                <c:pt idx="1">
                  <c:v>2026-08-05</c:v>
                </c:pt>
                <c:pt idx="2">
                  <c:v>2026-08-06</c:v>
                </c:pt>
              </c:strCache>
            </c:strRef>
          </c:cat>
          <c:val>
            <c:numRef>
              <c:f>Summary!$P$18:$P$20</c:f>
              <c:numCache>
                <c:formatCode>0.00"%"</c:formatCode>
                <c:ptCount val="3"/>
                <c:pt idx="0">
                  <c:v>0</c:v>
                </c:pt>
                <c:pt idx="1">
                  <c:v>6.164383561643838</c:v>
                </c:pt>
                <c:pt idx="2">
                  <c:v>7.4097135740971432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92-4C46-B7CE-BC9F8AF70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>
          <c:spPr>
            <a:ln w="9525">
              <a:solidFill>
                <a:srgbClr val="21262D"/>
              </a:solidFill>
            </a:ln>
          </c:spPr>
        </c:majorGridlines>
        <c:numFmt formatCode="0.0&quot;%&quot;" sourceLinked="0"/>
        <c:majorTickMark val="none"/>
        <c:minorTickMark val="none"/>
        <c:tickLblPos val="nextTo"/>
        <c:spPr>
          <a:ln>
            <a:solidFill>
              <a:srgbClr val="30363D"/>
            </a:solidFill>
          </a:ln>
        </c:spPr>
        <c:txPr>
          <a:bodyPr/>
          <a:lstStyle/>
          <a:p>
            <a:pPr>
              <a:defRPr sz="800">
                <a:solidFill>
                  <a:srgbClr val="8B949E"/>
                </a:solidFill>
                <a:latin typeface="Consolas"/>
                <a:ea typeface="Microsoft YaHei"/>
              </a:defRPr>
            </a:pPr>
            <a:endParaRPr lang="zh-TW"/>
          </a:p>
        </c:txPr>
        <c:crossAx val="1"/>
        <c:crosses val="autoZero"/>
        <c:crossBetween val="between"/>
      </c:valAx>
      <c:spPr>
        <a:solidFill>
          <a:srgbClr val="0D1117"/>
        </a:solidFill>
      </c:spPr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8B949E"/>
              </a:solidFill>
              <a:latin typeface="Consolas"/>
              <a:ea typeface="Microsoft YaHe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0D1117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111332</xdr:colOff>
      <xdr:row>16</xdr:row>
      <xdr:rowOff>55665</xdr:rowOff>
    </xdr:from>
    <xdr:to>
      <xdr:col>18</xdr:col>
      <xdr:colOff>575210</xdr:colOff>
      <xdr:row>29</xdr:row>
      <xdr:rowOff>154627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250122</xdr:colOff>
      <xdr:row>6</xdr:row>
      <xdr:rowOff>24741</xdr:rowOff>
    </xdr:from>
    <xdr:to>
      <xdr:col>18</xdr:col>
      <xdr:colOff>358732</xdr:colOff>
      <xdr:row>14</xdr:row>
      <xdr:rowOff>86591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6183</xdr:colOff>
      <xdr:row>12</xdr:row>
      <xdr:rowOff>18555</xdr:rowOff>
    </xdr:from>
    <xdr:to>
      <xdr:col>8</xdr:col>
      <xdr:colOff>105144</xdr:colOff>
      <xdr:row>30</xdr:row>
      <xdr:rowOff>43294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117"/>
    <pageSetUpPr fitToPage="1"/>
  </sheetPr>
  <dimension ref="A1:T33"/>
  <sheetViews>
    <sheetView showGridLines="0" tabSelected="1" zoomScale="106" zoomScaleNormal="10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O3" sqref="O3"/>
    </sheetView>
  </sheetViews>
  <sheetFormatPr defaultRowHeight="14.25" x14ac:dyDescent="0.45"/>
  <cols>
    <col min="1" max="1" width="2.06640625" customWidth="1"/>
    <col min="2" max="2" width="24" customWidth="1"/>
    <col min="3" max="3" width="2" customWidth="1"/>
    <col min="4" max="4" width="24" customWidth="1"/>
    <col min="5" max="5" width="2" customWidth="1"/>
    <col min="6" max="6" width="24" customWidth="1"/>
    <col min="7" max="7" width="2" customWidth="1"/>
    <col min="8" max="8" width="24" customWidth="1"/>
    <col min="9" max="9" width="2" customWidth="1"/>
    <col min="10" max="10" width="24" customWidth="1"/>
    <col min="11" max="11" width="2" customWidth="1"/>
    <col min="12" max="12" width="24" customWidth="1"/>
    <col min="13" max="13" width="2" customWidth="1"/>
  </cols>
  <sheetData>
    <row r="1" spans="1:20" ht="25.15" customHeight="1" thickBot="1" x14ac:dyDescent="0.5">
      <c r="A1" s="6"/>
      <c r="B1" s="79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24" customHeight="1" x14ac:dyDescent="0.45">
      <c r="A2" s="82"/>
      <c r="B2" s="80" t="s">
        <v>1</v>
      </c>
      <c r="C2" s="83"/>
      <c r="D2" s="84" t="s">
        <v>2</v>
      </c>
      <c r="E2" s="83"/>
      <c r="F2" s="84" t="s">
        <v>3</v>
      </c>
      <c r="G2" s="83"/>
      <c r="H2" s="87" t="s">
        <v>4</v>
      </c>
      <c r="I2" s="83"/>
      <c r="J2" s="90" t="s">
        <v>5</v>
      </c>
      <c r="K2" s="83"/>
      <c r="L2" s="84" t="s">
        <v>6</v>
      </c>
      <c r="M2" s="6"/>
      <c r="N2" s="6"/>
      <c r="O2" s="6"/>
      <c r="P2" s="6"/>
      <c r="Q2" s="6"/>
      <c r="R2" s="6"/>
      <c r="S2" s="6"/>
      <c r="T2" s="6"/>
    </row>
    <row r="3" spans="1:20" ht="58.05" customHeight="1" thickBot="1" x14ac:dyDescent="0.5">
      <c r="A3" s="82"/>
      <c r="B3" s="81">
        <f>COUNTA(Summary!A2:A4)</f>
        <v>3</v>
      </c>
      <c r="C3" s="83"/>
      <c r="D3" s="85">
        <f>Summary!B4</f>
        <v>36</v>
      </c>
      <c r="E3" s="83"/>
      <c r="F3" s="86">
        <f>Summary!F4</f>
        <v>3</v>
      </c>
      <c r="G3" s="83"/>
      <c r="H3" s="88">
        <f>Summary!C4</f>
        <v>72.86666666666666</v>
      </c>
      <c r="I3" s="83"/>
      <c r="J3" s="89">
        <f>Summary!D4</f>
        <v>3.0845744618450102</v>
      </c>
      <c r="K3" s="83"/>
      <c r="L3" s="91">
        <f>Summary!E4</f>
        <v>25</v>
      </c>
      <c r="M3" s="6"/>
      <c r="N3" s="6"/>
      <c r="O3" s="6"/>
      <c r="P3" s="6"/>
      <c r="Q3" s="6"/>
      <c r="R3" s="6"/>
      <c r="S3" s="6"/>
      <c r="T3" s="6"/>
    </row>
    <row r="4" spans="1:20" ht="4.05" customHeight="1" x14ac:dyDescent="0.45">
      <c r="A4" s="6"/>
      <c r="B4" s="7"/>
      <c r="C4" s="6"/>
      <c r="D4" s="7"/>
      <c r="E4" s="6"/>
      <c r="F4" s="7"/>
      <c r="G4" s="6"/>
      <c r="H4" s="7"/>
      <c r="I4" s="6"/>
      <c r="J4" s="7"/>
      <c r="K4" s="6"/>
      <c r="L4" s="7"/>
      <c r="M4" s="6"/>
      <c r="N4" s="6"/>
      <c r="O4" s="6"/>
      <c r="P4" s="6"/>
      <c r="Q4" s="6"/>
      <c r="R4" s="6"/>
      <c r="S4" s="6"/>
      <c r="T4" s="6"/>
    </row>
    <row r="5" spans="1:20" ht="4.05" customHeight="1" x14ac:dyDescent="0.45">
      <c r="A5" s="6"/>
      <c r="B5" s="92"/>
      <c r="C5" s="6"/>
      <c r="D5" s="92"/>
      <c r="E5" s="6"/>
      <c r="F5" s="92"/>
      <c r="G5" s="6"/>
      <c r="H5" s="92"/>
      <c r="I5" s="6"/>
      <c r="J5" s="92"/>
      <c r="K5" s="6"/>
      <c r="L5" s="92"/>
      <c r="M5" s="6"/>
      <c r="N5" s="6"/>
      <c r="O5" s="6"/>
      <c r="P5" s="6"/>
      <c r="Q5" s="6"/>
      <c r="R5" s="6"/>
      <c r="S5" s="6"/>
      <c r="T5" s="6"/>
    </row>
    <row r="6" spans="1:20" ht="19.149999999999999" customHeight="1" x14ac:dyDescent="0.4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28.05" customHeight="1" x14ac:dyDescent="0.45">
      <c r="A7" s="6"/>
      <c r="B7" s="76" t="str">
        <f>"今日买点提示（"&amp;TEXT(Summary!$A$4,"yyyy-mm-dd")&amp;"）"</f>
        <v>今日买点提示（2026-08-06）</v>
      </c>
      <c r="C7" s="77"/>
      <c r="D7" s="77"/>
      <c r="E7" s="77"/>
      <c r="F7" s="77"/>
      <c r="G7" s="77"/>
      <c r="H7" s="77"/>
      <c r="I7" s="78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24" customHeight="1" x14ac:dyDescent="0.45">
      <c r="A8" s="6"/>
      <c r="B8" s="69" t="s">
        <v>7</v>
      </c>
      <c r="C8" s="66" t="s">
        <v>8</v>
      </c>
      <c r="D8" s="71"/>
      <c r="E8" s="66" t="s">
        <v>9</v>
      </c>
      <c r="F8" s="71"/>
      <c r="G8" s="66" t="s">
        <v>10</v>
      </c>
      <c r="H8" s="67"/>
      <c r="I8" s="68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40.25" customHeight="1" x14ac:dyDescent="0.45">
      <c r="A9" s="6"/>
      <c r="B9" s="65" t="str">
        <f>IFERROR(INDEX(Data!$H:$H,SMALL(Data!$N$2:$N$1000,1)),"")</f>
        <v>T1确认买点</v>
      </c>
      <c r="C9" s="61" t="str">
        <f>IFERROR(INDEX(Data!$D:$D,SMALL(Data!$N$2:$N$1000,1)),"")</f>
        <v>紫金矿业</v>
      </c>
      <c r="D9" s="72"/>
      <c r="E9" s="74">
        <f>IFERROR(INDEX(Data!$E:$E,SMALL(Data!$N$2:$N$1000,1)),"")</f>
        <v>81.8</v>
      </c>
      <c r="F9" s="72"/>
      <c r="G9" s="61" t="str">
        <f>IFERROR(INDEX(Data!$I:$I,SMALL(Data!$N$2:$N$1000,1)),"")</f>
        <v>买点1：明日开盘买入（信号日收盘 34.10，止损-5%）</v>
      </c>
      <c r="H9" s="63"/>
      <c r="I9" s="64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40.25" customHeight="1" x14ac:dyDescent="0.45">
      <c r="A10" s="6"/>
      <c r="B10" s="59" t="str">
        <f>IFERROR(INDEX(Data!$H:$H,SMALL(Data!$N$2:$N$1000,2)),"")</f>
        <v>回踩低吸</v>
      </c>
      <c r="C10" s="70" t="str">
        <f>IFERROR(INDEX(Data!$D:$D,SMALL(Data!$N$2:$N$1000,2)),"")</f>
        <v>桂冠电力</v>
      </c>
      <c r="D10" s="62"/>
      <c r="E10" s="75">
        <f>IFERROR(INDEX(Data!$E:$E,SMALL(Data!$N$2:$N$1000,2)),"")</f>
        <v>74.5</v>
      </c>
      <c r="F10" s="62"/>
      <c r="G10" s="70" t="str">
        <f>IFERROR(INDEX(Data!$I:$I,SMALL(Data!$N$2:$N$1000,2)),"")</f>
        <v>买点2：MA10(10.79)附近缩量企稳，可低吸</v>
      </c>
      <c r="H10" s="60"/>
      <c r="I10" s="6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40.25" customHeight="1" x14ac:dyDescent="0.45">
      <c r="A11" s="6"/>
      <c r="B11" s="54" t="str">
        <f>IFERROR(INDEX(Data!$H:$H,SMALL(Data!$N$2:$N$1000,3)),"")</f>
        <v>T1确认买点</v>
      </c>
      <c r="C11" s="55" t="str">
        <f>IFERROR(INDEX(Data!$D:$D,SMALL(Data!$N$2:$N$1000,3)),"")</f>
        <v>金诚信</v>
      </c>
      <c r="D11" s="73"/>
      <c r="E11" s="56">
        <f>IFERROR(INDEX(Data!$E:$E,SMALL(Data!$N$2:$N$1000,3)),"")</f>
        <v>73.599999999999994</v>
      </c>
      <c r="F11" s="73"/>
      <c r="G11" s="55" t="str">
        <f>IFERROR(INDEX(Data!$I:$I,SMALL(Data!$N$2:$N$1000,3)),"")</f>
        <v>买点1：明日开盘买入（信号日收盘 78.68，止损-5%）</v>
      </c>
      <c r="H11" s="57"/>
      <c r="I11" s="5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4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4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4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5">
      <c r="A16" s="6"/>
      <c r="B16" s="8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45">
      <c r="A17" s="6"/>
      <c r="B17" s="9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4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4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4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4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4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4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4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ht="81.400000000000006" x14ac:dyDescent="0.45">
      <c r="A32" s="6"/>
      <c r="B32" s="10" t="s">
        <v>11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ht="81.400000000000006" x14ac:dyDescent="0.45">
      <c r="A33" s="6"/>
      <c r="B33" s="10" t="s">
        <v>12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</sheetData>
  <mergeCells count="14">
    <mergeCell ref="B1:T1"/>
    <mergeCell ref="C11:D11"/>
    <mergeCell ref="G9:I9"/>
    <mergeCell ref="G10:I10"/>
    <mergeCell ref="G8:I8"/>
    <mergeCell ref="C10:D10"/>
    <mergeCell ref="E10:F10"/>
    <mergeCell ref="B7:I7"/>
    <mergeCell ref="E9:F9"/>
    <mergeCell ref="C9:D9"/>
    <mergeCell ref="G11:I11"/>
    <mergeCell ref="E11:F11"/>
    <mergeCell ref="E8:F8"/>
    <mergeCell ref="C8:D8"/>
  </mergeCells>
  <phoneticPr fontId="14" type="noConversion"/>
  <conditionalFormatting sqref="J2">
    <cfRule type="expression" dxfId="21" priority="1">
      <formula>$J2&gt;0</formula>
    </cfRule>
    <cfRule type="expression" dxfId="20" priority="2">
      <formula>$J2&lt;0</formula>
    </cfRule>
  </conditionalFormatting>
  <conditionalFormatting sqref="F3">
    <cfRule type="cellIs" dxfId="19" priority="3" operator="greaterThan">
      <formula>0</formula>
    </cfRule>
  </conditionalFormatting>
  <pageMargins left="0.75" right="0.75" top="1" bottom="1" header="0.5" footer="0.5"/>
  <pageSetup orientation="landscape"/>
  <headerFooter>
    <oddHeader>&amp;L&amp;"Consolas,Regular"&amp;9&amp;K6E7681 QUANT DASHBOARD&amp;R&amp;"Consolas,Regular"&amp;9&amp;K6E76812026-08-07</oddHeader>
    <oddFooter>&amp;C&amp;"Consolas,Regular"&amp;8&amp;K484F58第 &amp;P 页 / 共 &amp;N 页&amp;R&amp;"Consolas,Regular"&amp;8&amp;K484F58免责：研究线索，不构成投资建议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117"/>
    <pageSetUpPr fitToPage="1"/>
  </sheetPr>
  <dimension ref="A1:Q2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3" customWidth="1"/>
    <col min="4" max="4" width="14" customWidth="1"/>
    <col min="5" max="8" width="12" customWidth="1"/>
    <col min="9" max="10" width="14" customWidth="1"/>
    <col min="12" max="12" width="14" customWidth="1"/>
  </cols>
  <sheetData>
    <row r="1" spans="1:17" x14ac:dyDescent="0.45">
      <c r="A1" s="11" t="s">
        <v>13</v>
      </c>
      <c r="B1" s="11" t="s">
        <v>14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21</v>
      </c>
      <c r="J1" s="11" t="s">
        <v>22</v>
      </c>
      <c r="K1" s="6"/>
      <c r="L1" s="11" t="s">
        <v>23</v>
      </c>
      <c r="M1" s="6"/>
      <c r="N1" s="6"/>
      <c r="O1" s="6"/>
      <c r="P1" s="6"/>
    </row>
    <row r="2" spans="1:17" x14ac:dyDescent="0.45">
      <c r="A2" s="12">
        <f>DATE(2026,8,4)</f>
        <v>46238</v>
      </c>
      <c r="B2" s="13">
        <f>COUNTIFS(Data!$A$2:$A$1000,$A2,Data!$B$2:$B$1000,"观察池")</f>
        <v>36</v>
      </c>
      <c r="C2" s="14">
        <f>IFERROR(AVERAGEIFS(Data!$E$2:$E$1000,Data!$A$2:$A$1000,$A2,Data!$B$2:$B$1000,"观察池"),0)</f>
        <v>72.86666666666666</v>
      </c>
      <c r="D2" s="15">
        <f>IFERROR(AVERAGEIFS(Data!$G$2:$G$1000,Data!$A$2:$A$1000,$A2,Data!$B$2:$B$1000,"观察池"),0)</f>
        <v>4.6637445982079022</v>
      </c>
      <c r="E2" s="13">
        <f>COUNTIFS(Data!$A$2:$A$1000,$A2,Data!$B$2:$B$1000,"观察池",Data!$G$2:$G$1000,"&gt;0")</f>
        <v>30</v>
      </c>
      <c r="F2" s="13">
        <f>COUNTIFS(Data!$A$2:$A$1000,$A2,Data!$B$2:$B$1000,"观察池",Data!$H$2:$H$1000,"T1确认买点",Data!$M$2:$M$1000,"&lt;80")+COUNTIFS(Data!$A$2:$A$1000,$A2,Data!$B$2:$B$1000,"观察池",Data!$H$2:$H$1000,"T0新信号",Data!$M$2:$M$1000,"&lt;80")+COUNTIFS(Data!$A$2:$A$1000,$A2,Data!$B$2:$B$1000,"观察池",Data!$H$2:$H$1000,"回踩低吸",Data!$M$2:$M$1000,"&lt;80")</f>
        <v>5</v>
      </c>
      <c r="G2" s="13">
        <f>COUNTIFS(Data!$A$2:$A$1000,$A2,Data!$B$2:$B$1000,"观察池",Data!$H$2:$H$1000,"破位")</f>
        <v>21</v>
      </c>
      <c r="H2" s="13">
        <f>COUNTIFS(Data!$A$2:$A$1000,$A2,Data!$B$2:$B$1000,"观察池",Data!$H$2:$H$1000,"空头")</f>
        <v>6</v>
      </c>
      <c r="I2" s="13">
        <f>COUNTIFS(Data!$A$2:$A$1000,$A2,Data!$B$2:$B$1000,"观察池",Data!$H$2:$H$1000,"多头持有")</f>
        <v>2</v>
      </c>
      <c r="J2" s="13">
        <f>COUNTIFS(Data!$A$2:$A$1000,$A2,Data!$B$2:$B$1000,"新信号")</f>
        <v>0</v>
      </c>
      <c r="K2" s="6"/>
      <c r="L2" s="16" t="str">
        <f>TEXT(A2,"yyyy-mm-dd")</f>
        <v>2026-08-04</v>
      </c>
      <c r="M2" s="6"/>
      <c r="N2" s="6"/>
      <c r="O2" s="6"/>
      <c r="P2" s="6"/>
    </row>
    <row r="3" spans="1:17" x14ac:dyDescent="0.45">
      <c r="A3" s="17">
        <f>DATE(2026,8,5)</f>
        <v>46239</v>
      </c>
      <c r="B3" s="18">
        <f>COUNTIFS(Data!$A$2:$A$1000,$A3,Data!$B$2:$B$1000,"观察池")</f>
        <v>36</v>
      </c>
      <c r="C3" s="19">
        <f>IFERROR(AVERAGEIFS(Data!$E$2:$E$1000,Data!$A$2:$A$1000,$A3,Data!$B$2:$B$1000,"观察池"),0)</f>
        <v>72.86666666666666</v>
      </c>
      <c r="D3" s="20">
        <f>IFERROR(AVERAGEIFS(Data!$G$2:$G$1000,Data!$A$2:$A$1000,$A3,Data!$B$2:$B$1000,"观察池"),0)</f>
        <v>5.2695032599928746</v>
      </c>
      <c r="E3" s="18">
        <f>COUNTIFS(Data!$A$2:$A$1000,$A3,Data!$B$2:$B$1000,"观察池",Data!$G$2:$G$1000,"&gt;0")</f>
        <v>30</v>
      </c>
      <c r="F3" s="18">
        <f>COUNTIFS(Data!$A$2:$A$1000,$A3,Data!$B$2:$B$1000,"观察池",Data!$H$2:$H$1000,"T1确认买点",Data!$M$2:$M$1000,"&lt;80")+COUNTIFS(Data!$A$2:$A$1000,$A3,Data!$B$2:$B$1000,"观察池",Data!$H$2:$H$1000,"T0新信号",Data!$M$2:$M$1000,"&lt;80")+COUNTIFS(Data!$A$2:$A$1000,$A3,Data!$B$2:$B$1000,"观察池",Data!$H$2:$H$1000,"回踩低吸",Data!$M$2:$M$1000,"&lt;80")</f>
        <v>3</v>
      </c>
      <c r="G3" s="18">
        <f>COUNTIFS(Data!$A$2:$A$1000,$A3,Data!$B$2:$B$1000,"观察池",Data!$H$2:$H$1000,"破位")</f>
        <v>18</v>
      </c>
      <c r="H3" s="18">
        <f>COUNTIFS(Data!$A$2:$A$1000,$A3,Data!$B$2:$B$1000,"观察池",Data!$H$2:$H$1000,"空头")</f>
        <v>9</v>
      </c>
      <c r="I3" s="18">
        <f>COUNTIFS(Data!$A$2:$A$1000,$A3,Data!$B$2:$B$1000,"观察池",Data!$H$2:$H$1000,"多头持有")</f>
        <v>5</v>
      </c>
      <c r="J3" s="18">
        <f>COUNTIFS(Data!$A$2:$A$1000,$A3,Data!$B$2:$B$1000,"新信号")</f>
        <v>83</v>
      </c>
      <c r="K3" s="6"/>
      <c r="L3" s="21" t="str">
        <f>TEXT(A3,"yyyy-mm-dd")</f>
        <v>2026-08-05</v>
      </c>
      <c r="M3" s="6"/>
      <c r="N3" s="6"/>
      <c r="O3" s="6"/>
      <c r="P3" s="6"/>
    </row>
    <row r="4" spans="1:17" x14ac:dyDescent="0.45">
      <c r="A4" s="12">
        <f>DATE(2026,8,6)</f>
        <v>46240</v>
      </c>
      <c r="B4" s="13">
        <f>COUNTIFS(Data!$A$2:$A$1000,$A4,Data!$B$2:$B$1000,"观察池")</f>
        <v>36</v>
      </c>
      <c r="C4" s="14">
        <f>IFERROR(AVERAGEIFS(Data!$E$2:$E$1000,Data!$A$2:$A$1000,$A4,Data!$B$2:$B$1000,"观察池"),0)</f>
        <v>72.86666666666666</v>
      </c>
      <c r="D4" s="15">
        <f>IFERROR(AVERAGEIFS(Data!$G$2:$G$1000,Data!$A$2:$A$1000,$A4,Data!$B$2:$B$1000,"观察池"),0)</f>
        <v>3.0845744618450102</v>
      </c>
      <c r="E4" s="13">
        <f>COUNTIFS(Data!$A$2:$A$1000,$A4,Data!$B$2:$B$1000,"观察池",Data!$G$2:$G$1000,"&gt;0")</f>
        <v>25</v>
      </c>
      <c r="F4" s="13">
        <f>COUNTIFS(Data!$A$2:$A$1000,$A4,Data!$B$2:$B$1000,"观察池",Data!$H$2:$H$1000,"T1确认买点",Data!$M$2:$M$1000,"&lt;80")+COUNTIFS(Data!$A$2:$A$1000,$A4,Data!$B$2:$B$1000,"观察池",Data!$H$2:$H$1000,"T0新信号",Data!$M$2:$M$1000,"&lt;80")+COUNTIFS(Data!$A$2:$A$1000,$A4,Data!$B$2:$B$1000,"观察池",Data!$H$2:$H$1000,"回踩低吸",Data!$M$2:$M$1000,"&lt;80")</f>
        <v>3</v>
      </c>
      <c r="G4" s="13">
        <f>COUNTIFS(Data!$A$2:$A$1000,$A4,Data!$B$2:$B$1000,"观察池",Data!$H$2:$H$1000,"破位")</f>
        <v>10</v>
      </c>
      <c r="H4" s="13">
        <f>COUNTIFS(Data!$A$2:$A$1000,$A4,Data!$B$2:$B$1000,"观察池",Data!$H$2:$H$1000,"空头")</f>
        <v>15</v>
      </c>
      <c r="I4" s="13">
        <f>COUNTIFS(Data!$A$2:$A$1000,$A4,Data!$B$2:$B$1000,"观察池",Data!$H$2:$H$1000,"多头持有")</f>
        <v>6</v>
      </c>
      <c r="J4" s="13">
        <f>COUNTIFS(Data!$A$2:$A$1000,$A4,Data!$B$2:$B$1000,"新信号")</f>
        <v>0</v>
      </c>
      <c r="K4" s="6"/>
      <c r="L4" s="16" t="str">
        <f>TEXT(A4,"yyyy-mm-dd")</f>
        <v>2026-08-06</v>
      </c>
      <c r="M4" s="6"/>
      <c r="N4" s="6"/>
      <c r="O4" s="6"/>
      <c r="P4" s="6"/>
    </row>
    <row r="5" spans="1:17" x14ac:dyDescent="0.45">
      <c r="A5" s="22" t="s">
        <v>24</v>
      </c>
      <c r="B5" s="23"/>
      <c r="C5" s="23"/>
      <c r="D5" s="23"/>
      <c r="E5" s="23"/>
      <c r="F5" s="23"/>
      <c r="G5" s="23"/>
      <c r="H5" s="23"/>
      <c r="I5" s="23"/>
      <c r="J5" s="23"/>
      <c r="K5" s="6"/>
      <c r="L5" s="6"/>
      <c r="M5" s="6"/>
      <c r="N5" s="6"/>
      <c r="O5" s="6"/>
      <c r="P5" s="6"/>
    </row>
    <row r="6" spans="1:17" x14ac:dyDescent="0.45">
      <c r="A6" s="24" t="s">
        <v>7</v>
      </c>
      <c r="B6" s="25">
        <f>$A$2</f>
        <v>46238</v>
      </c>
      <c r="C6" s="25">
        <f>$A$3</f>
        <v>46239</v>
      </c>
      <c r="D6" s="25">
        <f>$A$4</f>
        <v>46240</v>
      </c>
      <c r="E6" s="23"/>
      <c r="F6" s="23"/>
      <c r="G6" s="23"/>
      <c r="H6" s="23"/>
      <c r="I6" s="23"/>
      <c r="J6" s="23"/>
      <c r="K6" s="6"/>
      <c r="L6" s="6"/>
      <c r="M6" s="6"/>
      <c r="N6" s="6"/>
      <c r="O6" s="6"/>
      <c r="P6" s="6"/>
    </row>
    <row r="7" spans="1:17" x14ac:dyDescent="0.45">
      <c r="A7" s="26" t="s">
        <v>25</v>
      </c>
      <c r="B7" s="27">
        <f>COUNTIFS(Data!$A$2:$A$1000,$A$2,Data!$B$2:$B$1000,"观察池",Data!$H$2:$H$1000,$A7)</f>
        <v>6</v>
      </c>
      <c r="C7" s="27">
        <f>COUNTIFS(Data!$A$2:$A$1000,$A$3,Data!$B$2:$B$1000,"观察池",Data!$H$2:$H$1000,$A7)</f>
        <v>9</v>
      </c>
      <c r="D7" s="27">
        <f>COUNTIFS(Data!$A$2:$A$1000,$A$4,Data!$B$2:$B$1000,"观察池",Data!$H$2:$H$1000,$A7)</f>
        <v>15</v>
      </c>
      <c r="E7" s="26"/>
      <c r="F7" s="26"/>
      <c r="G7" s="26"/>
      <c r="H7" s="26"/>
      <c r="I7" s="26"/>
      <c r="J7" s="26"/>
      <c r="K7" s="28"/>
      <c r="L7" s="28"/>
      <c r="M7" s="28"/>
      <c r="N7" s="28"/>
      <c r="O7" s="28"/>
      <c r="P7" s="28"/>
    </row>
    <row r="8" spans="1:17" x14ac:dyDescent="0.45">
      <c r="A8" s="29" t="s">
        <v>26</v>
      </c>
      <c r="B8" s="30">
        <f>COUNTIFS(Data!$A$2:$A$1000,$A$2,Data!$B$2:$B$1000,"观察池",Data!$H$2:$H$1000,$A8)</f>
        <v>21</v>
      </c>
      <c r="C8" s="30">
        <f>COUNTIFS(Data!$A$2:$A$1000,$A$3,Data!$B$2:$B$1000,"观察池",Data!$H$2:$H$1000,$A8)</f>
        <v>18</v>
      </c>
      <c r="D8" s="30">
        <f>COUNTIFS(Data!$A$2:$A$1000,$A$4,Data!$B$2:$B$1000,"观察池",Data!$H$2:$H$1000,$A8)</f>
        <v>10</v>
      </c>
      <c r="E8" s="26"/>
      <c r="F8" s="26"/>
      <c r="G8" s="26"/>
      <c r="H8" s="26"/>
      <c r="I8" s="26"/>
      <c r="J8" s="26"/>
      <c r="K8" s="28"/>
      <c r="L8" s="28"/>
      <c r="M8" s="28"/>
      <c r="N8" s="28"/>
      <c r="O8" s="28"/>
      <c r="P8" s="28"/>
    </row>
    <row r="9" spans="1:17" x14ac:dyDescent="0.45">
      <c r="A9" s="26" t="s">
        <v>27</v>
      </c>
      <c r="B9" s="27">
        <f>COUNTIFS(Data!$A$2:$A$1000,$A$2,Data!$B$2:$B$1000,"观察池",Data!$H$2:$H$1000,$A9)</f>
        <v>2</v>
      </c>
      <c r="C9" s="27">
        <f>COUNTIFS(Data!$A$2:$A$1000,$A$3,Data!$B$2:$B$1000,"观察池",Data!$H$2:$H$1000,$A9)</f>
        <v>5</v>
      </c>
      <c r="D9" s="27">
        <f>COUNTIFS(Data!$A$2:$A$1000,$A$4,Data!$B$2:$B$1000,"观察池",Data!$H$2:$H$1000,$A9)</f>
        <v>6</v>
      </c>
      <c r="E9" s="26"/>
      <c r="F9" s="26"/>
      <c r="G9" s="26"/>
      <c r="H9" s="26"/>
      <c r="I9" s="26"/>
      <c r="J9" s="26"/>
      <c r="K9" s="28"/>
      <c r="L9" s="28"/>
      <c r="M9" s="28"/>
      <c r="N9" s="28"/>
      <c r="O9" s="28"/>
      <c r="P9" s="28"/>
    </row>
    <row r="10" spans="1:17" x14ac:dyDescent="0.45">
      <c r="A10" s="29" t="s">
        <v>28</v>
      </c>
      <c r="B10" s="30">
        <f>COUNTIFS(Data!$A$2:$A$1000,$A$2,Data!$B$2:$B$1000,"观察池",Data!$H$2:$H$1000,$A10)</f>
        <v>5</v>
      </c>
      <c r="C10" s="30">
        <f>COUNTIFS(Data!$A$2:$A$1000,$A$3,Data!$B$2:$B$1000,"观察池",Data!$H$2:$H$1000,$A10)</f>
        <v>1</v>
      </c>
      <c r="D10" s="30">
        <f>COUNTIFS(Data!$A$2:$A$1000,$A$4,Data!$B$2:$B$1000,"观察池",Data!$H$2:$H$1000,$A10)</f>
        <v>1</v>
      </c>
      <c r="E10" s="26"/>
      <c r="F10" s="26"/>
      <c r="G10" s="26"/>
      <c r="H10" s="26"/>
      <c r="I10" s="26"/>
      <c r="J10" s="26"/>
      <c r="K10" s="28"/>
      <c r="L10" s="28"/>
      <c r="M10" s="28"/>
      <c r="N10" s="28"/>
      <c r="O10" s="28"/>
      <c r="P10" s="28"/>
    </row>
    <row r="11" spans="1:17" x14ac:dyDescent="0.45">
      <c r="A11" s="26" t="s">
        <v>29</v>
      </c>
      <c r="B11" s="27">
        <f>COUNTIFS(Data!$A$2:$A$1000,$A$2,Data!$B$2:$B$1000,"观察池",Data!$H$2:$H$1000,$A11)</f>
        <v>1</v>
      </c>
      <c r="C11" s="27">
        <f>COUNTIFS(Data!$A$2:$A$1000,$A$3,Data!$B$2:$B$1000,"观察池",Data!$H$2:$H$1000,$A11)</f>
        <v>0</v>
      </c>
      <c r="D11" s="27">
        <f>COUNTIFS(Data!$A$2:$A$1000,$A$4,Data!$B$2:$B$1000,"观察池",Data!$H$2:$H$1000,$A11)</f>
        <v>1</v>
      </c>
      <c r="E11" s="26"/>
      <c r="F11" s="26"/>
      <c r="G11" s="26"/>
      <c r="H11" s="26"/>
      <c r="I11" s="26"/>
      <c r="J11" s="26"/>
      <c r="K11" s="28"/>
      <c r="L11" s="28"/>
      <c r="M11" s="28"/>
      <c r="N11" s="28"/>
      <c r="O11" s="28"/>
      <c r="P11" s="28"/>
    </row>
    <row r="12" spans="1:17" x14ac:dyDescent="0.45">
      <c r="A12" s="29" t="s">
        <v>30</v>
      </c>
      <c r="B12" s="30">
        <f>COUNTIFS(Data!$A$2:$A$1000,$A$2,Data!$B$2:$B$1000,"观察池",Data!$H$2:$H$1000,$A12)</f>
        <v>0</v>
      </c>
      <c r="C12" s="30">
        <f>COUNTIFS(Data!$A$2:$A$1000,$A$3,Data!$B$2:$B$1000,"观察池",Data!$H$2:$H$1000,$A12)</f>
        <v>0</v>
      </c>
      <c r="D12" s="30">
        <f>COUNTIFS(Data!$A$2:$A$1000,$A$4,Data!$B$2:$B$1000,"观察池",Data!$H$2:$H$1000,$A12)</f>
        <v>3</v>
      </c>
      <c r="E12" s="26"/>
      <c r="F12" s="26"/>
      <c r="G12" s="26"/>
      <c r="H12" s="26"/>
      <c r="I12" s="26"/>
      <c r="J12" s="26"/>
      <c r="K12" s="28"/>
      <c r="L12" s="28"/>
      <c r="M12" s="28"/>
      <c r="N12" s="28"/>
      <c r="O12" s="28"/>
      <c r="P12" s="28"/>
    </row>
    <row r="13" spans="1:17" x14ac:dyDescent="0.45">
      <c r="A13" s="26" t="s">
        <v>31</v>
      </c>
      <c r="B13" s="27">
        <f>COUNTIFS(Data!$A$2:$A$1000,$A$2,Data!$B$2:$B$1000,"观察池",Data!$H$2:$H$1000,$A13)</f>
        <v>1</v>
      </c>
      <c r="C13" s="27">
        <f>COUNTIFS(Data!$A$2:$A$1000,$A$3,Data!$B$2:$B$1000,"观察池",Data!$H$2:$H$1000,$A13)</f>
        <v>3</v>
      </c>
      <c r="D13" s="27">
        <f>COUNTIFS(Data!$A$2:$A$1000,$A$4,Data!$B$2:$B$1000,"观察池",Data!$H$2:$H$1000,$A13)</f>
        <v>0</v>
      </c>
      <c r="E13" s="26"/>
      <c r="F13" s="26"/>
      <c r="G13" s="26"/>
      <c r="H13" s="26"/>
      <c r="I13" s="26"/>
      <c r="J13" s="26"/>
      <c r="K13" s="28"/>
      <c r="L13" s="28"/>
      <c r="M13" s="28"/>
      <c r="N13" s="28"/>
      <c r="O13" s="28"/>
      <c r="P13" s="28"/>
    </row>
    <row r="14" spans="1:17" x14ac:dyDescent="0.45">
      <c r="A14" s="31" t="s">
        <v>32</v>
      </c>
      <c r="B14" s="32"/>
      <c r="C14" s="32"/>
      <c r="D14" s="32"/>
      <c r="E14" s="32"/>
      <c r="F14" s="32"/>
      <c r="G14" s="32"/>
      <c r="H14" s="32"/>
      <c r="I14" s="32"/>
      <c r="J14" s="32"/>
      <c r="K14" s="6"/>
      <c r="L14" s="6"/>
      <c r="M14" s="6"/>
      <c r="N14" s="6"/>
      <c r="O14" s="6"/>
      <c r="P14" s="6"/>
    </row>
    <row r="15" spans="1:17" x14ac:dyDescent="0.4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7" ht="34.9" x14ac:dyDescent="0.45">
      <c r="A16" s="33" t="s">
        <v>33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5"/>
    </row>
    <row r="17" spans="1:16" x14ac:dyDescent="0.4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34" t="s">
        <v>34</v>
      </c>
      <c r="P17" s="34" t="s">
        <v>35</v>
      </c>
    </row>
    <row r="18" spans="1:16" x14ac:dyDescent="0.4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35">
        <f>SUMIFS(Data!$F$2:$F$1000,Data!$A$2:$A$1000,$A$2,Data!$C$2:$C$1000,"601899")</f>
        <v>32.119999999999997</v>
      </c>
      <c r="P18" s="36">
        <f>IFERROR((O18/$P$23-1)*100,"")</f>
        <v>0</v>
      </c>
    </row>
    <row r="19" spans="1:16" x14ac:dyDescent="0.4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35">
        <f>SUMIFS(Data!$F$2:$F$1000,Data!$A$2:$A$1000,$A$3,Data!$C$2:$C$1000,"601899")</f>
        <v>34.1</v>
      </c>
      <c r="P19" s="36">
        <f>IFERROR((O19/$P$23-1)*100,"")</f>
        <v>6.164383561643838</v>
      </c>
    </row>
    <row r="20" spans="1:16" x14ac:dyDescent="0.4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35">
        <f>SUMIFS(Data!$F$2:$F$1000,Data!$A$2:$A$1000,$A$4,Data!$C$2:$C$1000,"601899")</f>
        <v>34.5</v>
      </c>
      <c r="P20" s="36">
        <f>IFERROR((O20/$P$23-1)*100,"")</f>
        <v>7.4097135740971432</v>
      </c>
    </row>
    <row r="21" spans="1:16" x14ac:dyDescent="0.4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32"/>
      <c r="P21" s="32"/>
    </row>
    <row r="22" spans="1:16" x14ac:dyDescent="0.4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32"/>
      <c r="P22" s="31" t="s">
        <v>36</v>
      </c>
    </row>
    <row r="23" spans="1:16" x14ac:dyDescent="0.4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32"/>
      <c r="P23" s="37">
        <v>32.119999999999997</v>
      </c>
    </row>
    <row r="24" spans="1:16" x14ac:dyDescent="0.4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32"/>
      <c r="P24" s="38" t="s">
        <v>37</v>
      </c>
    </row>
  </sheetData>
  <phoneticPr fontId="14" type="noConversion"/>
  <pageMargins left="0.75" right="0.75" top="1" bottom="1" header="0.5" footer="0.5"/>
  <pageSetup orientation="landscape"/>
  <headerFooter>
    <oddHeader>&amp;L&amp;"Consolas,Regular"&amp;9&amp;K6E7681 QUANT DASHBOARD&amp;R&amp;"Consolas,Regular"&amp;9&amp;K6E76812026-08-07</oddHeader>
    <oddFooter>&amp;C&amp;"Consolas,Regular"&amp;8&amp;K484F58第 &amp;P 页 / 共 &amp;N 页&amp;R&amp;"Consolas,Regular"&amp;8&amp;K484F58免责：研究线索，不构成投资建议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117"/>
    <pageSetUpPr fitToPage="1"/>
  </sheetPr>
  <dimension ref="A1:I3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4" customWidth="1"/>
    <col min="3" max="3" width="10" style="1" customWidth="1"/>
    <col min="4" max="4" width="11" style="3" customWidth="1"/>
    <col min="5" max="5" width="12" style="2" customWidth="1"/>
    <col min="6" max="6" width="14" customWidth="1"/>
    <col min="7" max="7" width="50" customWidth="1"/>
    <col min="8" max="9" width="10" customWidth="1"/>
  </cols>
  <sheetData>
    <row r="1" spans="1:9" x14ac:dyDescent="0.45">
      <c r="A1" s="11" t="s">
        <v>38</v>
      </c>
      <c r="B1" s="11" t="s">
        <v>8</v>
      </c>
      <c r="C1" s="11" t="s">
        <v>9</v>
      </c>
      <c r="D1" s="11" t="s">
        <v>39</v>
      </c>
      <c r="E1" s="11" t="s">
        <v>40</v>
      </c>
      <c r="F1" s="11" t="s">
        <v>7</v>
      </c>
      <c r="G1" s="11" t="s">
        <v>10</v>
      </c>
      <c r="H1" s="11" t="s">
        <v>41</v>
      </c>
      <c r="I1" s="11" t="s">
        <v>42</v>
      </c>
    </row>
    <row r="2" spans="1:9" x14ac:dyDescent="0.45">
      <c r="A2" s="39" t="s">
        <v>43</v>
      </c>
      <c r="B2" s="39" t="s">
        <v>44</v>
      </c>
      <c r="C2" s="40">
        <v>86.3</v>
      </c>
      <c r="D2" s="41">
        <v>62.5</v>
      </c>
      <c r="E2" s="41">
        <v>8.8281386035173206</v>
      </c>
      <c r="F2" s="39" t="s">
        <v>25</v>
      </c>
      <c r="G2" s="39" t="s">
        <v>45</v>
      </c>
      <c r="H2" s="42">
        <f t="shared" ref="H2:H11" si="0">IF($C2&gt;80,$C2,"")</f>
        <v>86.3</v>
      </c>
      <c r="I2" s="42" t="str">
        <f t="shared" ref="I2:I11" si="1">IF($C2&gt;75,IF($C2&lt;=80,$C2,""),"")</f>
        <v/>
      </c>
    </row>
    <row r="3" spans="1:9" x14ac:dyDescent="0.45">
      <c r="A3" s="43">
        <v>603986</v>
      </c>
      <c r="B3" s="44" t="s">
        <v>46</v>
      </c>
      <c r="C3" s="45">
        <v>86.3</v>
      </c>
      <c r="D3" s="46">
        <v>385</v>
      </c>
      <c r="E3" s="46">
        <v>-0.1141552511415567</v>
      </c>
      <c r="F3" s="44" t="s">
        <v>26</v>
      </c>
      <c r="G3" s="44" t="s">
        <v>47</v>
      </c>
      <c r="H3" s="47">
        <f t="shared" si="0"/>
        <v>86.3</v>
      </c>
      <c r="I3" s="47" t="str">
        <f t="shared" si="1"/>
        <v/>
      </c>
    </row>
    <row r="4" spans="1:9" x14ac:dyDescent="0.45">
      <c r="A4" s="48">
        <v>601899</v>
      </c>
      <c r="B4" s="39" t="s">
        <v>48</v>
      </c>
      <c r="C4" s="40">
        <v>81.8</v>
      </c>
      <c r="D4" s="41">
        <v>34.5</v>
      </c>
      <c r="E4" s="41">
        <v>1.1730205278592361</v>
      </c>
      <c r="F4" s="39" t="s">
        <v>30</v>
      </c>
      <c r="G4" s="39" t="s">
        <v>49</v>
      </c>
      <c r="H4" s="42">
        <f t="shared" si="0"/>
        <v>81.8</v>
      </c>
      <c r="I4" s="42" t="str">
        <f t="shared" si="1"/>
        <v/>
      </c>
    </row>
    <row r="5" spans="1:9" x14ac:dyDescent="0.45">
      <c r="A5" s="43">
        <v>603061</v>
      </c>
      <c r="B5" s="44" t="s">
        <v>50</v>
      </c>
      <c r="C5" s="45">
        <v>81.400000000000006</v>
      </c>
      <c r="D5" s="46">
        <v>307.73</v>
      </c>
      <c r="E5" s="46">
        <v>5.0775114389127962</v>
      </c>
      <c r="F5" s="44" t="s">
        <v>26</v>
      </c>
      <c r="G5" s="44" t="s">
        <v>47</v>
      </c>
      <c r="H5" s="47">
        <f t="shared" si="0"/>
        <v>81.400000000000006</v>
      </c>
      <c r="I5" s="47" t="str">
        <f t="shared" si="1"/>
        <v/>
      </c>
    </row>
    <row r="6" spans="1:9" x14ac:dyDescent="0.45">
      <c r="A6" s="39" t="s">
        <v>51</v>
      </c>
      <c r="B6" s="39" t="s">
        <v>52</v>
      </c>
      <c r="C6" s="40">
        <v>79.599999999999994</v>
      </c>
      <c r="D6" s="41">
        <v>67.069999999999993</v>
      </c>
      <c r="E6" s="41">
        <v>4.6497113434232906</v>
      </c>
      <c r="F6" s="39" t="s">
        <v>26</v>
      </c>
      <c r="G6" s="39" t="s">
        <v>47</v>
      </c>
      <c r="H6" s="42" t="str">
        <f t="shared" si="0"/>
        <v/>
      </c>
      <c r="I6" s="42">
        <f t="shared" si="1"/>
        <v>79.599999999999994</v>
      </c>
    </row>
    <row r="7" spans="1:9" x14ac:dyDescent="0.45">
      <c r="A7" s="44" t="s">
        <v>53</v>
      </c>
      <c r="B7" s="44" t="s">
        <v>54</v>
      </c>
      <c r="C7" s="45">
        <v>78.5</v>
      </c>
      <c r="D7" s="46">
        <v>388.25</v>
      </c>
      <c r="E7" s="46">
        <v>0.52040182270089996</v>
      </c>
      <c r="F7" s="44" t="s">
        <v>26</v>
      </c>
      <c r="G7" s="44" t="s">
        <v>47</v>
      </c>
      <c r="H7" s="47" t="str">
        <f t="shared" si="0"/>
        <v/>
      </c>
      <c r="I7" s="47">
        <f t="shared" si="1"/>
        <v>78.5</v>
      </c>
    </row>
    <row r="8" spans="1:9" x14ac:dyDescent="0.45">
      <c r="A8" s="39" t="s">
        <v>55</v>
      </c>
      <c r="B8" s="39" t="s">
        <v>56</v>
      </c>
      <c r="C8" s="40">
        <v>78.2</v>
      </c>
      <c r="D8" s="41">
        <v>25.46</v>
      </c>
      <c r="E8" s="41">
        <v>5.1197357555739176</v>
      </c>
      <c r="F8" s="39" t="s">
        <v>27</v>
      </c>
      <c r="G8" s="39" t="s">
        <v>57</v>
      </c>
      <c r="H8" s="42" t="str">
        <f t="shared" si="0"/>
        <v/>
      </c>
      <c r="I8" s="42">
        <f t="shared" si="1"/>
        <v>78.2</v>
      </c>
    </row>
    <row r="9" spans="1:9" x14ac:dyDescent="0.45">
      <c r="A9" s="43">
        <v>300666</v>
      </c>
      <c r="B9" s="44" t="s">
        <v>58</v>
      </c>
      <c r="C9" s="45">
        <v>77.5</v>
      </c>
      <c r="D9" s="46">
        <v>238.62</v>
      </c>
      <c r="E9" s="46">
        <v>7.2931654676259061</v>
      </c>
      <c r="F9" s="44" t="s">
        <v>25</v>
      </c>
      <c r="G9" s="44" t="s">
        <v>45</v>
      </c>
      <c r="H9" s="47" t="str">
        <f t="shared" si="0"/>
        <v/>
      </c>
      <c r="I9" s="47">
        <f t="shared" si="1"/>
        <v>77.5</v>
      </c>
    </row>
    <row r="10" spans="1:9" x14ac:dyDescent="0.45">
      <c r="A10" s="48">
        <v>601869</v>
      </c>
      <c r="B10" s="39" t="s">
        <v>59</v>
      </c>
      <c r="C10" s="40">
        <v>77.5</v>
      </c>
      <c r="D10" s="41">
        <v>328.25</v>
      </c>
      <c r="E10" s="41">
        <v>5.0736235595390644</v>
      </c>
      <c r="F10" s="39" t="s">
        <v>26</v>
      </c>
      <c r="G10" s="39" t="s">
        <v>47</v>
      </c>
      <c r="H10" s="42" t="str">
        <f t="shared" si="0"/>
        <v/>
      </c>
      <c r="I10" s="42">
        <f t="shared" si="1"/>
        <v>77.5</v>
      </c>
    </row>
    <row r="11" spans="1:9" x14ac:dyDescent="0.45">
      <c r="A11" s="44" t="s">
        <v>60</v>
      </c>
      <c r="B11" s="44" t="s">
        <v>61</v>
      </c>
      <c r="C11" s="45">
        <v>77.3</v>
      </c>
      <c r="D11" s="46">
        <v>18.72</v>
      </c>
      <c r="E11" s="46">
        <v>4.8152295632698738</v>
      </c>
      <c r="F11" s="44" t="s">
        <v>25</v>
      </c>
      <c r="G11" s="44" t="s">
        <v>45</v>
      </c>
      <c r="H11" s="47" t="str">
        <f t="shared" si="0"/>
        <v/>
      </c>
      <c r="I11" s="47">
        <f t="shared" si="1"/>
        <v>77.3</v>
      </c>
    </row>
    <row r="12" spans="1:9" x14ac:dyDescent="0.45">
      <c r="A12" s="48">
        <v>603256</v>
      </c>
      <c r="B12" s="39" t="s">
        <v>62</v>
      </c>
      <c r="C12" s="40">
        <v>77.3</v>
      </c>
      <c r="D12" s="41">
        <v>148.74</v>
      </c>
      <c r="E12" s="41">
        <v>7.6967634494243597</v>
      </c>
      <c r="F12" s="39" t="s">
        <v>26</v>
      </c>
      <c r="G12" s="39" t="s">
        <v>47</v>
      </c>
      <c r="H12" s="6"/>
      <c r="I12" s="6"/>
    </row>
    <row r="13" spans="1:9" x14ac:dyDescent="0.45">
      <c r="A13" s="44" t="s">
        <v>63</v>
      </c>
      <c r="B13" s="44" t="s">
        <v>64</v>
      </c>
      <c r="C13" s="45">
        <v>76.400000000000006</v>
      </c>
      <c r="D13" s="46">
        <v>36.979999999999997</v>
      </c>
      <c r="E13" s="46">
        <v>7.0023148148147918</v>
      </c>
      <c r="F13" s="44" t="s">
        <v>25</v>
      </c>
      <c r="G13" s="44" t="s">
        <v>45</v>
      </c>
      <c r="H13" s="6"/>
      <c r="I13" s="6"/>
    </row>
    <row r="14" spans="1:9" x14ac:dyDescent="0.45">
      <c r="A14" s="48">
        <v>600183</v>
      </c>
      <c r="B14" s="39" t="s">
        <v>65</v>
      </c>
      <c r="C14" s="40">
        <v>76.2</v>
      </c>
      <c r="D14" s="41">
        <v>127.25</v>
      </c>
      <c r="E14" s="41">
        <v>3.6322176072970169</v>
      </c>
      <c r="F14" s="39" t="s">
        <v>25</v>
      </c>
      <c r="G14" s="39" t="s">
        <v>45</v>
      </c>
      <c r="H14" s="6"/>
      <c r="I14" s="6"/>
    </row>
    <row r="15" spans="1:9" x14ac:dyDescent="0.45">
      <c r="A15" s="43">
        <v>600549</v>
      </c>
      <c r="B15" s="44" t="s">
        <v>66</v>
      </c>
      <c r="C15" s="45">
        <v>76.2</v>
      </c>
      <c r="D15" s="46">
        <v>57.47</v>
      </c>
      <c r="E15" s="46">
        <v>6.9806403574087961</v>
      </c>
      <c r="F15" s="44" t="s">
        <v>25</v>
      </c>
      <c r="G15" s="44" t="s">
        <v>45</v>
      </c>
      <c r="H15" s="6"/>
      <c r="I15" s="6"/>
    </row>
    <row r="16" spans="1:9" x14ac:dyDescent="0.45">
      <c r="A16" s="39" t="s">
        <v>67</v>
      </c>
      <c r="B16" s="39" t="s">
        <v>68</v>
      </c>
      <c r="C16" s="40">
        <v>76</v>
      </c>
      <c r="D16" s="41">
        <v>111.76</v>
      </c>
      <c r="E16" s="41">
        <v>2.8813403295590678</v>
      </c>
      <c r="F16" s="39" t="s">
        <v>25</v>
      </c>
      <c r="G16" s="39" t="s">
        <v>45</v>
      </c>
      <c r="H16" s="6"/>
      <c r="I16" s="6"/>
    </row>
    <row r="17" spans="1:9" x14ac:dyDescent="0.45">
      <c r="A17" s="43">
        <v>301201</v>
      </c>
      <c r="B17" s="44" t="s">
        <v>69</v>
      </c>
      <c r="C17" s="45">
        <v>76</v>
      </c>
      <c r="D17" s="46">
        <v>33.24</v>
      </c>
      <c r="E17" s="46">
        <v>6.6067992302758283</v>
      </c>
      <c r="F17" s="44" t="s">
        <v>25</v>
      </c>
      <c r="G17" s="44" t="s">
        <v>45</v>
      </c>
      <c r="H17" s="6"/>
      <c r="I17" s="6"/>
    </row>
    <row r="18" spans="1:9" x14ac:dyDescent="0.45">
      <c r="A18" s="48">
        <v>600489</v>
      </c>
      <c r="B18" s="39" t="s">
        <v>70</v>
      </c>
      <c r="C18" s="40">
        <v>75.599999999999994</v>
      </c>
      <c r="D18" s="41">
        <v>25.11</v>
      </c>
      <c r="E18" s="41">
        <v>3.5463917525773159</v>
      </c>
      <c r="F18" s="39" t="s">
        <v>27</v>
      </c>
      <c r="G18" s="39" t="s">
        <v>71</v>
      </c>
      <c r="H18" s="6"/>
      <c r="I18" s="6"/>
    </row>
    <row r="19" spans="1:9" x14ac:dyDescent="0.45">
      <c r="A19" s="43">
        <v>605305</v>
      </c>
      <c r="B19" s="44" t="s">
        <v>72</v>
      </c>
      <c r="C19" s="45">
        <v>75.400000000000006</v>
      </c>
      <c r="D19" s="46">
        <v>40.1</v>
      </c>
      <c r="E19" s="46">
        <v>0.75376884422111434</v>
      </c>
      <c r="F19" s="44" t="s">
        <v>25</v>
      </c>
      <c r="G19" s="44" t="s">
        <v>45</v>
      </c>
      <c r="H19" s="6"/>
      <c r="I19" s="6"/>
    </row>
    <row r="20" spans="1:9" x14ac:dyDescent="0.45">
      <c r="A20" s="48">
        <v>605499</v>
      </c>
      <c r="B20" s="39" t="s">
        <v>73</v>
      </c>
      <c r="C20" s="40">
        <v>74.8</v>
      </c>
      <c r="D20" s="41">
        <v>120.89</v>
      </c>
      <c r="E20" s="41">
        <v>-1.346499102333931</v>
      </c>
      <c r="F20" s="39" t="s">
        <v>26</v>
      </c>
      <c r="G20" s="39" t="s">
        <v>47</v>
      </c>
      <c r="H20" s="6"/>
      <c r="I20" s="6"/>
    </row>
    <row r="21" spans="1:9" x14ac:dyDescent="0.45">
      <c r="A21" s="43">
        <v>600236</v>
      </c>
      <c r="B21" s="44" t="s">
        <v>74</v>
      </c>
      <c r="C21" s="45">
        <v>74.5</v>
      </c>
      <c r="D21" s="46">
        <v>10.97</v>
      </c>
      <c r="E21" s="46">
        <v>-1.437556154537289</v>
      </c>
      <c r="F21" s="44" t="s">
        <v>28</v>
      </c>
      <c r="G21" s="44" t="s">
        <v>75</v>
      </c>
      <c r="H21" s="6"/>
      <c r="I21" s="6"/>
    </row>
    <row r="22" spans="1:9" x14ac:dyDescent="0.45">
      <c r="A22" s="39" t="s">
        <v>76</v>
      </c>
      <c r="B22" s="39" t="s">
        <v>77</v>
      </c>
      <c r="C22" s="40">
        <v>74.3</v>
      </c>
      <c r="D22" s="41">
        <v>66.95</v>
      </c>
      <c r="E22" s="41">
        <v>-0.90290112492599217</v>
      </c>
      <c r="F22" s="39" t="s">
        <v>25</v>
      </c>
      <c r="G22" s="39" t="s">
        <v>45</v>
      </c>
      <c r="H22" s="6"/>
      <c r="I22" s="6"/>
    </row>
    <row r="23" spans="1:9" x14ac:dyDescent="0.45">
      <c r="A23" s="43">
        <v>600499</v>
      </c>
      <c r="B23" s="44" t="s">
        <v>78</v>
      </c>
      <c r="C23" s="45">
        <v>73.599999999999994</v>
      </c>
      <c r="D23" s="46">
        <v>14.4</v>
      </c>
      <c r="E23" s="46">
        <v>-0.82644628099173278</v>
      </c>
      <c r="F23" s="44" t="s">
        <v>26</v>
      </c>
      <c r="G23" s="44" t="s">
        <v>47</v>
      </c>
      <c r="H23" s="6"/>
      <c r="I23" s="6"/>
    </row>
    <row r="24" spans="1:9" x14ac:dyDescent="0.45">
      <c r="A24" s="48">
        <v>603979</v>
      </c>
      <c r="B24" s="39" t="s">
        <v>79</v>
      </c>
      <c r="C24" s="40">
        <v>73.599999999999994</v>
      </c>
      <c r="D24" s="41">
        <v>78.400000000000006</v>
      </c>
      <c r="E24" s="41">
        <v>-0.3558718861209953</v>
      </c>
      <c r="F24" s="39" t="s">
        <v>30</v>
      </c>
      <c r="G24" s="39" t="s">
        <v>80</v>
      </c>
      <c r="H24" s="6"/>
      <c r="I24" s="6"/>
    </row>
    <row r="25" spans="1:9" x14ac:dyDescent="0.45">
      <c r="A25" s="43">
        <v>600801</v>
      </c>
      <c r="B25" s="44" t="s">
        <v>81</v>
      </c>
      <c r="C25" s="45">
        <v>73</v>
      </c>
      <c r="D25" s="46">
        <v>23.01</v>
      </c>
      <c r="E25" s="46">
        <v>4.9247606019152013</v>
      </c>
      <c r="F25" s="44" t="s">
        <v>27</v>
      </c>
      <c r="G25" s="44" t="s">
        <v>82</v>
      </c>
      <c r="H25" s="6"/>
      <c r="I25" s="6"/>
    </row>
    <row r="26" spans="1:9" x14ac:dyDescent="0.45">
      <c r="A26" s="39" t="s">
        <v>83</v>
      </c>
      <c r="B26" s="39" t="s">
        <v>84</v>
      </c>
      <c r="C26" s="40">
        <v>72.400000000000006</v>
      </c>
      <c r="D26" s="41">
        <v>42.17</v>
      </c>
      <c r="E26" s="41">
        <v>0.59637404580152875</v>
      </c>
      <c r="F26" s="39" t="s">
        <v>25</v>
      </c>
      <c r="G26" s="39" t="s">
        <v>45</v>
      </c>
      <c r="H26" s="6"/>
      <c r="I26" s="6"/>
    </row>
    <row r="27" spans="1:9" x14ac:dyDescent="0.45">
      <c r="A27" s="43">
        <v>300540</v>
      </c>
      <c r="B27" s="44" t="s">
        <v>85</v>
      </c>
      <c r="C27" s="45">
        <v>71.5</v>
      </c>
      <c r="D27" s="46">
        <v>33.61</v>
      </c>
      <c r="E27" s="46">
        <v>19.992859692966778</v>
      </c>
      <c r="F27" s="44" t="s">
        <v>25</v>
      </c>
      <c r="G27" s="44" t="s">
        <v>45</v>
      </c>
      <c r="H27" s="6"/>
      <c r="I27" s="6"/>
    </row>
    <row r="28" spans="1:9" x14ac:dyDescent="0.45">
      <c r="A28" s="48">
        <v>603317</v>
      </c>
      <c r="B28" s="39" t="s">
        <v>86</v>
      </c>
      <c r="C28" s="40">
        <v>71.5</v>
      </c>
      <c r="D28" s="41">
        <v>14.27</v>
      </c>
      <c r="E28" s="41">
        <v>-3.7761294672960299</v>
      </c>
      <c r="F28" s="39" t="s">
        <v>29</v>
      </c>
      <c r="G28" s="39" t="s">
        <v>87</v>
      </c>
      <c r="H28" s="6"/>
      <c r="I28" s="6"/>
    </row>
    <row r="29" spans="1:9" x14ac:dyDescent="0.45">
      <c r="A29" s="44" t="s">
        <v>88</v>
      </c>
      <c r="B29" s="44" t="s">
        <v>89</v>
      </c>
      <c r="C29" s="45">
        <v>70.599999999999994</v>
      </c>
      <c r="D29" s="46">
        <v>9.0500000000000007</v>
      </c>
      <c r="E29" s="46">
        <v>-0.44004400440043062</v>
      </c>
      <c r="F29" s="44" t="s">
        <v>26</v>
      </c>
      <c r="G29" s="44" t="s">
        <v>47</v>
      </c>
      <c r="H29" s="6"/>
      <c r="I29" s="6"/>
    </row>
    <row r="30" spans="1:9" x14ac:dyDescent="0.45">
      <c r="A30" s="48">
        <v>300031</v>
      </c>
      <c r="B30" s="39" t="s">
        <v>90</v>
      </c>
      <c r="C30" s="40">
        <v>68.5</v>
      </c>
      <c r="D30" s="41">
        <v>21.32</v>
      </c>
      <c r="E30" s="41">
        <v>-2.7372262773722729</v>
      </c>
      <c r="F30" s="39" t="s">
        <v>25</v>
      </c>
      <c r="G30" s="39" t="s">
        <v>45</v>
      </c>
      <c r="H30" s="6"/>
      <c r="I30" s="6"/>
    </row>
    <row r="31" spans="1:9" x14ac:dyDescent="0.45">
      <c r="A31" s="44" t="s">
        <v>91</v>
      </c>
      <c r="B31" s="44" t="s">
        <v>92</v>
      </c>
      <c r="C31" s="45">
        <v>68</v>
      </c>
      <c r="D31" s="46">
        <v>83.54</v>
      </c>
      <c r="E31" s="46">
        <v>8.4794182573691756</v>
      </c>
      <c r="F31" s="44" t="s">
        <v>25</v>
      </c>
      <c r="G31" s="44" t="s">
        <v>45</v>
      </c>
      <c r="H31" s="6"/>
      <c r="I31" s="6"/>
    </row>
    <row r="32" spans="1:9" x14ac:dyDescent="0.45">
      <c r="A32" s="48">
        <v>600520</v>
      </c>
      <c r="B32" s="39" t="s">
        <v>93</v>
      </c>
      <c r="C32" s="40">
        <v>67.599999999999994</v>
      </c>
      <c r="D32" s="41">
        <v>23.95</v>
      </c>
      <c r="E32" s="41">
        <v>2.6575225032147598</v>
      </c>
      <c r="F32" s="39" t="s">
        <v>26</v>
      </c>
      <c r="G32" s="39" t="s">
        <v>47</v>
      </c>
      <c r="H32" s="6"/>
      <c r="I32" s="6"/>
    </row>
    <row r="33" spans="1:9" x14ac:dyDescent="0.45">
      <c r="A33" s="43">
        <v>300191</v>
      </c>
      <c r="B33" s="44" t="s">
        <v>94</v>
      </c>
      <c r="C33" s="45">
        <v>67.400000000000006</v>
      </c>
      <c r="D33" s="46">
        <v>32.450000000000003</v>
      </c>
      <c r="E33" s="46">
        <v>7.0957095709571094</v>
      </c>
      <c r="F33" s="44" t="s">
        <v>27</v>
      </c>
      <c r="G33" s="44" t="s">
        <v>95</v>
      </c>
      <c r="H33" s="6"/>
      <c r="I33" s="6"/>
    </row>
    <row r="34" spans="1:9" x14ac:dyDescent="0.45">
      <c r="A34" s="39" t="s">
        <v>96</v>
      </c>
      <c r="B34" s="39" t="s">
        <v>97</v>
      </c>
      <c r="C34" s="40">
        <v>64.400000000000006</v>
      </c>
      <c r="D34" s="41">
        <v>5.05</v>
      </c>
      <c r="E34" s="41">
        <v>-0.59055118110237226</v>
      </c>
      <c r="F34" s="39" t="s">
        <v>27</v>
      </c>
      <c r="G34" s="39" t="s">
        <v>98</v>
      </c>
      <c r="H34" s="6"/>
      <c r="I34" s="6"/>
    </row>
    <row r="35" spans="1:9" ht="27.75" x14ac:dyDescent="0.45">
      <c r="A35" s="44" t="s">
        <v>99</v>
      </c>
      <c r="B35" s="44" t="s">
        <v>100</v>
      </c>
      <c r="C35" s="45">
        <v>52</v>
      </c>
      <c r="D35" s="46">
        <v>10.95</v>
      </c>
      <c r="E35" s="46">
        <v>-6.6496163682864591</v>
      </c>
      <c r="F35" s="44" t="s">
        <v>30</v>
      </c>
      <c r="G35" s="44" t="s">
        <v>101</v>
      </c>
      <c r="H35" s="6"/>
      <c r="I35" s="6"/>
    </row>
    <row r="36" spans="1:9" x14ac:dyDescent="0.45">
      <c r="A36" s="48">
        <v>300497</v>
      </c>
      <c r="B36" s="39" t="s">
        <v>102</v>
      </c>
      <c r="C36" s="40">
        <v>47.5</v>
      </c>
      <c r="D36" s="41">
        <v>18.25</v>
      </c>
      <c r="E36" s="41">
        <v>3.9886039886039888</v>
      </c>
      <c r="F36" s="39" t="s">
        <v>25</v>
      </c>
      <c r="G36" s="39" t="s">
        <v>45</v>
      </c>
      <c r="H36" s="6"/>
      <c r="I36" s="6"/>
    </row>
    <row r="37" spans="1:9" x14ac:dyDescent="0.45">
      <c r="A37" s="44" t="s">
        <v>103</v>
      </c>
      <c r="B37" s="44" t="s">
        <v>104</v>
      </c>
      <c r="C37" s="45">
        <v>44.5</v>
      </c>
      <c r="D37" s="46">
        <v>7.24</v>
      </c>
      <c r="E37" s="46">
        <v>0.83565459610028814</v>
      </c>
      <c r="F37" s="44" t="s">
        <v>27</v>
      </c>
      <c r="G37" s="44" t="s">
        <v>105</v>
      </c>
      <c r="H37" s="6"/>
      <c r="I37" s="6"/>
    </row>
  </sheetData>
  <phoneticPr fontId="14" type="noConversion"/>
  <conditionalFormatting sqref="E2:E2000">
    <cfRule type="cellIs" dxfId="18" priority="1" operator="greaterThan">
      <formula>0</formula>
    </cfRule>
    <cfRule type="cellIs" dxfId="17" priority="2" operator="lessThan">
      <formula>0</formula>
    </cfRule>
  </conditionalFormatting>
  <conditionalFormatting sqref="F2:F2000">
    <cfRule type="expression" dxfId="16" priority="3">
      <formula>OR(F2="T0新信号",F2="T1确认买点")</formula>
    </cfRule>
    <cfRule type="expression" dxfId="15" priority="4">
      <formula>OR(F2="回踩低吸",F2="多头回踩")</formula>
    </cfRule>
    <cfRule type="expression" dxfId="14" priority="5">
      <formula>OR(F2="破位",F2="空头")</formula>
    </cfRule>
    <cfRule type="expression" dxfId="13" priority="6">
      <formula>F2="多头持有"</formula>
    </cfRule>
  </conditionalFormatting>
  <pageMargins left="0.75" right="0.75" top="1" bottom="1" header="0.5" footer="0.5"/>
  <pageSetup orientation="landscape"/>
  <headerFooter>
    <oddHeader>&amp;L&amp;"Consolas,Regular"&amp;9&amp;K6E7681 QUANT DASHBOARD&amp;R&amp;"Consolas,Regular"&amp;9&amp;K6E76812026-08-07</oddHeader>
    <oddFooter>&amp;C&amp;"Consolas,Regular"&amp;8&amp;K484F58第 &amp;P 页 / 共 &amp;N 页&amp;R&amp;"Consolas,Regular"&amp;8&amp;K484F58免责：研究线索，不构成投资建议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117"/>
    <pageSetUpPr fitToPage="1"/>
  </sheetPr>
  <dimension ref="A1:N19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0" customWidth="1"/>
    <col min="4" max="4" width="14" customWidth="1"/>
    <col min="5" max="5" width="10" style="1" customWidth="1"/>
    <col min="6" max="6" width="11" style="3" customWidth="1"/>
    <col min="7" max="7" width="12" style="2" customWidth="1"/>
    <col min="8" max="8" width="14" customWidth="1"/>
    <col min="9" max="9" width="50" customWidth="1"/>
    <col min="10" max="11" width="11" style="3" customWidth="1"/>
    <col min="12" max="12" width="10" style="3" customWidth="1"/>
    <col min="13" max="13" width="12" style="4" customWidth="1"/>
    <col min="14" max="14" width="10" customWidth="1"/>
  </cols>
  <sheetData>
    <row r="1" spans="1:14" x14ac:dyDescent="0.45">
      <c r="A1" s="11" t="s">
        <v>13</v>
      </c>
      <c r="B1" s="11" t="s">
        <v>106</v>
      </c>
      <c r="C1" s="11" t="s">
        <v>38</v>
      </c>
      <c r="D1" s="11" t="s">
        <v>8</v>
      </c>
      <c r="E1" s="11" t="s">
        <v>9</v>
      </c>
      <c r="F1" s="11" t="s">
        <v>39</v>
      </c>
      <c r="G1" s="11" t="s">
        <v>40</v>
      </c>
      <c r="H1" s="11" t="s">
        <v>7</v>
      </c>
      <c r="I1" s="11" t="s">
        <v>10</v>
      </c>
      <c r="J1" s="11" t="s">
        <v>107</v>
      </c>
      <c r="K1" s="11" t="s">
        <v>108</v>
      </c>
      <c r="L1" s="11" t="s">
        <v>109</v>
      </c>
      <c r="M1" s="11" t="s">
        <v>110</v>
      </c>
      <c r="N1" s="11" t="s">
        <v>111</v>
      </c>
    </row>
    <row r="2" spans="1:14" x14ac:dyDescent="0.45">
      <c r="A2" s="49">
        <v>46238</v>
      </c>
      <c r="B2" s="39" t="s">
        <v>112</v>
      </c>
      <c r="C2" s="39" t="s">
        <v>43</v>
      </c>
      <c r="D2" s="39" t="s">
        <v>44</v>
      </c>
      <c r="E2" s="40">
        <v>86.3</v>
      </c>
      <c r="F2" s="41">
        <v>52.21</v>
      </c>
      <c r="G2" s="41">
        <v>8.7934986455511464</v>
      </c>
      <c r="H2" s="39" t="s">
        <v>26</v>
      </c>
      <c r="I2" s="39" t="s">
        <v>47</v>
      </c>
      <c r="J2" s="41">
        <v>53.499000000000002</v>
      </c>
      <c r="K2" s="41">
        <v>60.904000000000003</v>
      </c>
      <c r="L2" s="41">
        <v>1.332194043899622</v>
      </c>
      <c r="M2" s="41">
        <v>-13.6168100595632</v>
      </c>
      <c r="N2" s="32"/>
    </row>
    <row r="3" spans="1:14" x14ac:dyDescent="0.45">
      <c r="A3" s="50">
        <v>46238</v>
      </c>
      <c r="B3" s="44" t="s">
        <v>112</v>
      </c>
      <c r="C3" s="43">
        <v>603986</v>
      </c>
      <c r="D3" s="44" t="s">
        <v>46</v>
      </c>
      <c r="E3" s="45">
        <v>86.3</v>
      </c>
      <c r="F3" s="46">
        <v>356.02</v>
      </c>
      <c r="G3" s="46">
        <v>4.4843575746903674</v>
      </c>
      <c r="H3" s="44" t="s">
        <v>26</v>
      </c>
      <c r="I3" s="44" t="s">
        <v>47</v>
      </c>
      <c r="J3" s="46">
        <v>401.411</v>
      </c>
      <c r="K3" s="46">
        <v>474.24700000000001</v>
      </c>
      <c r="L3" s="46">
        <v>0.82473114099354805</v>
      </c>
      <c r="M3" s="46">
        <v>-25.13195802578176</v>
      </c>
      <c r="N3" s="32"/>
    </row>
    <row r="4" spans="1:14" x14ac:dyDescent="0.45">
      <c r="A4" s="49">
        <v>46238</v>
      </c>
      <c r="B4" s="39" t="s">
        <v>112</v>
      </c>
      <c r="C4" s="48">
        <v>601899</v>
      </c>
      <c r="D4" s="39" t="s">
        <v>48</v>
      </c>
      <c r="E4" s="40">
        <v>81.8</v>
      </c>
      <c r="F4" s="41">
        <v>32.119999999999997</v>
      </c>
      <c r="G4" s="41">
        <v>-1.3210445468510019</v>
      </c>
      <c r="H4" s="39" t="s">
        <v>28</v>
      </c>
      <c r="I4" s="39" t="s">
        <v>113</v>
      </c>
      <c r="J4" s="41">
        <v>32.270000000000003</v>
      </c>
      <c r="K4" s="41">
        <v>30.390999999999998</v>
      </c>
      <c r="L4" s="41">
        <v>0.86775900218991286</v>
      </c>
      <c r="M4" s="41">
        <v>6.3224097980800984</v>
      </c>
      <c r="N4" s="32"/>
    </row>
    <row r="5" spans="1:14" x14ac:dyDescent="0.45">
      <c r="A5" s="50">
        <v>46238</v>
      </c>
      <c r="B5" s="44" t="s">
        <v>112</v>
      </c>
      <c r="C5" s="43">
        <v>603061</v>
      </c>
      <c r="D5" s="44" t="s">
        <v>50</v>
      </c>
      <c r="E5" s="45">
        <v>81.400000000000006</v>
      </c>
      <c r="F5" s="46">
        <v>266.24</v>
      </c>
      <c r="G5" s="46">
        <v>9.9983473805982612</v>
      </c>
      <c r="H5" s="44" t="s">
        <v>26</v>
      </c>
      <c r="I5" s="44" t="s">
        <v>47</v>
      </c>
      <c r="J5" s="46">
        <v>277.88299999999998</v>
      </c>
      <c r="K5" s="46">
        <v>329.10300000000001</v>
      </c>
      <c r="L5" s="46">
        <v>0.648571445359165</v>
      </c>
      <c r="M5" s="46">
        <v>-14.499502231927799</v>
      </c>
      <c r="N5" s="32"/>
    </row>
    <row r="6" spans="1:14" x14ac:dyDescent="0.45">
      <c r="A6" s="49">
        <v>46238</v>
      </c>
      <c r="B6" s="39" t="s">
        <v>112</v>
      </c>
      <c r="C6" s="39" t="s">
        <v>51</v>
      </c>
      <c r="D6" s="39" t="s">
        <v>52</v>
      </c>
      <c r="E6" s="40">
        <v>79.599999999999994</v>
      </c>
      <c r="F6" s="41">
        <v>61.12</v>
      </c>
      <c r="G6" s="41">
        <v>3.7691001697792941</v>
      </c>
      <c r="H6" s="39" t="s">
        <v>26</v>
      </c>
      <c r="I6" s="39" t="s">
        <v>47</v>
      </c>
      <c r="J6" s="41">
        <v>64.756</v>
      </c>
      <c r="K6" s="41">
        <v>67.757999999999996</v>
      </c>
      <c r="L6" s="41">
        <v>0.84802386334844981</v>
      </c>
      <c r="M6" s="41">
        <v>-14.577218728162119</v>
      </c>
      <c r="N6" s="32"/>
    </row>
    <row r="7" spans="1:14" x14ac:dyDescent="0.45">
      <c r="A7" s="50">
        <v>46238</v>
      </c>
      <c r="B7" s="44" t="s">
        <v>112</v>
      </c>
      <c r="C7" s="44" t="s">
        <v>53</v>
      </c>
      <c r="D7" s="44" t="s">
        <v>54</v>
      </c>
      <c r="E7" s="45">
        <v>78.5</v>
      </c>
      <c r="F7" s="46">
        <v>364.18</v>
      </c>
      <c r="G7" s="46">
        <v>4.3495702005730719</v>
      </c>
      <c r="H7" s="44" t="s">
        <v>26</v>
      </c>
      <c r="I7" s="44" t="s">
        <v>47</v>
      </c>
      <c r="J7" s="46">
        <v>389.88299999999998</v>
      </c>
      <c r="K7" s="46">
        <v>531.31299999999999</v>
      </c>
      <c r="L7" s="46">
        <v>0.85937794428291792</v>
      </c>
      <c r="M7" s="46">
        <v>-28.311023622047241</v>
      </c>
      <c r="N7" s="32"/>
    </row>
    <row r="8" spans="1:14" x14ac:dyDescent="0.45">
      <c r="A8" s="49">
        <v>46238</v>
      </c>
      <c r="B8" s="39" t="s">
        <v>112</v>
      </c>
      <c r="C8" s="39" t="s">
        <v>55</v>
      </c>
      <c r="D8" s="39" t="s">
        <v>56</v>
      </c>
      <c r="E8" s="40">
        <v>78.2</v>
      </c>
      <c r="F8" s="41">
        <v>22.56</v>
      </c>
      <c r="G8" s="41">
        <v>-1.1826544021024901</v>
      </c>
      <c r="H8" s="39" t="s">
        <v>28</v>
      </c>
      <c r="I8" s="39" t="s">
        <v>114</v>
      </c>
      <c r="J8" s="41">
        <v>22.59</v>
      </c>
      <c r="K8" s="41">
        <v>21.033999999999999</v>
      </c>
      <c r="L8" s="41">
        <v>0.72505698721809897</v>
      </c>
      <c r="M8" s="41">
        <v>10.21006350757205</v>
      </c>
      <c r="N8" s="32"/>
    </row>
    <row r="9" spans="1:14" x14ac:dyDescent="0.45">
      <c r="A9" s="50">
        <v>46238</v>
      </c>
      <c r="B9" s="44" t="s">
        <v>112</v>
      </c>
      <c r="C9" s="43">
        <v>300666</v>
      </c>
      <c r="D9" s="44" t="s">
        <v>58</v>
      </c>
      <c r="E9" s="45">
        <v>77.5</v>
      </c>
      <c r="F9" s="46">
        <v>200.08</v>
      </c>
      <c r="G9" s="46">
        <v>8.1455056483433541</v>
      </c>
      <c r="H9" s="44" t="s">
        <v>26</v>
      </c>
      <c r="I9" s="44" t="s">
        <v>47</v>
      </c>
      <c r="J9" s="46">
        <v>216.14400000000001</v>
      </c>
      <c r="K9" s="46">
        <v>250.2945</v>
      </c>
      <c r="L9" s="46">
        <v>0.93800917253424421</v>
      </c>
      <c r="M9" s="46">
        <v>-15.492481838148329</v>
      </c>
      <c r="N9" s="32"/>
    </row>
    <row r="10" spans="1:14" x14ac:dyDescent="0.45">
      <c r="A10" s="49">
        <v>46238</v>
      </c>
      <c r="B10" s="39" t="s">
        <v>112</v>
      </c>
      <c r="C10" s="48">
        <v>601869</v>
      </c>
      <c r="D10" s="39" t="s">
        <v>59</v>
      </c>
      <c r="E10" s="40">
        <v>77.5</v>
      </c>
      <c r="F10" s="41">
        <v>284</v>
      </c>
      <c r="G10" s="41">
        <v>8.272969881814717</v>
      </c>
      <c r="H10" s="39" t="s">
        <v>26</v>
      </c>
      <c r="I10" s="39" t="s">
        <v>47</v>
      </c>
      <c r="J10" s="41">
        <v>305.41699999999997</v>
      </c>
      <c r="K10" s="41">
        <v>353.98250000000002</v>
      </c>
      <c r="L10" s="41">
        <v>1.098550477597557</v>
      </c>
      <c r="M10" s="41">
        <v>-30.114670997588469</v>
      </c>
      <c r="N10" s="32"/>
    </row>
    <row r="11" spans="1:14" x14ac:dyDescent="0.45">
      <c r="A11" s="50">
        <v>46238</v>
      </c>
      <c r="B11" s="44" t="s">
        <v>112</v>
      </c>
      <c r="C11" s="43">
        <v>603256</v>
      </c>
      <c r="D11" s="44" t="s">
        <v>62</v>
      </c>
      <c r="E11" s="45">
        <v>77.3</v>
      </c>
      <c r="F11" s="46">
        <v>125.55</v>
      </c>
      <c r="G11" s="46">
        <v>8.8709677419354982</v>
      </c>
      <c r="H11" s="44" t="s">
        <v>26</v>
      </c>
      <c r="I11" s="44" t="s">
        <v>47</v>
      </c>
      <c r="J11" s="46">
        <v>139.68799999999999</v>
      </c>
      <c r="K11" s="46">
        <v>162.351</v>
      </c>
      <c r="L11" s="46">
        <v>1.1774158345640191</v>
      </c>
      <c r="M11" s="46">
        <v>-20.878497605243261</v>
      </c>
      <c r="N11" s="32"/>
    </row>
    <row r="12" spans="1:14" x14ac:dyDescent="0.45">
      <c r="A12" s="49">
        <v>46238</v>
      </c>
      <c r="B12" s="39" t="s">
        <v>112</v>
      </c>
      <c r="C12" s="39" t="s">
        <v>60</v>
      </c>
      <c r="D12" s="39" t="s">
        <v>61</v>
      </c>
      <c r="E12" s="40">
        <v>77.3</v>
      </c>
      <c r="F12" s="41">
        <v>16.89</v>
      </c>
      <c r="G12" s="41">
        <v>7.2380952380952426</v>
      </c>
      <c r="H12" s="39" t="s">
        <v>26</v>
      </c>
      <c r="I12" s="39" t="s">
        <v>47</v>
      </c>
      <c r="J12" s="41">
        <v>16.472999999999999</v>
      </c>
      <c r="K12" s="41">
        <v>18.713000000000001</v>
      </c>
      <c r="L12" s="41">
        <v>1.4426922820534229</v>
      </c>
      <c r="M12" s="41">
        <v>-4.791431792559175</v>
      </c>
      <c r="N12" s="32"/>
    </row>
    <row r="13" spans="1:14" x14ac:dyDescent="0.45">
      <c r="A13" s="50">
        <v>46238</v>
      </c>
      <c r="B13" s="44" t="s">
        <v>112</v>
      </c>
      <c r="C13" s="44" t="s">
        <v>63</v>
      </c>
      <c r="D13" s="44" t="s">
        <v>64</v>
      </c>
      <c r="E13" s="45">
        <v>76.400000000000006</v>
      </c>
      <c r="F13" s="46">
        <v>31.42</v>
      </c>
      <c r="G13" s="46">
        <v>6.148648648648658</v>
      </c>
      <c r="H13" s="44" t="s">
        <v>26</v>
      </c>
      <c r="I13" s="44" t="s">
        <v>47</v>
      </c>
      <c r="J13" s="46">
        <v>30.501999999999999</v>
      </c>
      <c r="K13" s="46">
        <v>32.527500000000003</v>
      </c>
      <c r="L13" s="46">
        <v>1.384408385507558</v>
      </c>
      <c r="M13" s="46">
        <v>0.93157725666559443</v>
      </c>
      <c r="N13" s="32"/>
    </row>
    <row r="14" spans="1:14" x14ac:dyDescent="0.45">
      <c r="A14" s="49">
        <v>46238</v>
      </c>
      <c r="B14" s="39" t="s">
        <v>112</v>
      </c>
      <c r="C14" s="48">
        <v>600549</v>
      </c>
      <c r="D14" s="39" t="s">
        <v>66</v>
      </c>
      <c r="E14" s="40">
        <v>76.2</v>
      </c>
      <c r="F14" s="41">
        <v>49.38</v>
      </c>
      <c r="G14" s="41">
        <v>6.3765618267987989</v>
      </c>
      <c r="H14" s="39" t="s">
        <v>26</v>
      </c>
      <c r="I14" s="39" t="s">
        <v>47</v>
      </c>
      <c r="J14" s="41">
        <v>48.063000000000002</v>
      </c>
      <c r="K14" s="41">
        <v>52.811999999999998</v>
      </c>
      <c r="L14" s="41">
        <v>1.3021262435016869</v>
      </c>
      <c r="M14" s="41">
        <v>-1.594260661618174</v>
      </c>
      <c r="N14" s="32"/>
    </row>
    <row r="15" spans="1:14" x14ac:dyDescent="0.45">
      <c r="A15" s="50">
        <v>46238</v>
      </c>
      <c r="B15" s="44" t="s">
        <v>112</v>
      </c>
      <c r="C15" s="43">
        <v>600183</v>
      </c>
      <c r="D15" s="44" t="s">
        <v>65</v>
      </c>
      <c r="E15" s="45">
        <v>76.2</v>
      </c>
      <c r="F15" s="46">
        <v>112.23</v>
      </c>
      <c r="G15" s="46">
        <v>9.99705968832696</v>
      </c>
      <c r="H15" s="44" t="s">
        <v>26</v>
      </c>
      <c r="I15" s="44" t="s">
        <v>47</v>
      </c>
      <c r="J15" s="46">
        <v>113.735</v>
      </c>
      <c r="K15" s="46">
        <v>128.1335</v>
      </c>
      <c r="L15" s="46">
        <v>0.86630005270743282</v>
      </c>
      <c r="M15" s="46">
        <v>-17.277216776000579</v>
      </c>
      <c r="N15" s="32"/>
    </row>
    <row r="16" spans="1:14" x14ac:dyDescent="0.45">
      <c r="A16" s="49">
        <v>46238</v>
      </c>
      <c r="B16" s="39" t="s">
        <v>112</v>
      </c>
      <c r="C16" s="48">
        <v>301201</v>
      </c>
      <c r="D16" s="39" t="s">
        <v>69</v>
      </c>
      <c r="E16" s="40">
        <v>76</v>
      </c>
      <c r="F16" s="41">
        <v>29.75</v>
      </c>
      <c r="G16" s="41">
        <v>5.4590570719603049</v>
      </c>
      <c r="H16" s="39" t="s">
        <v>26</v>
      </c>
      <c r="I16" s="39" t="s">
        <v>47</v>
      </c>
      <c r="J16" s="41">
        <v>28.37</v>
      </c>
      <c r="K16" s="41">
        <v>32.107500000000002</v>
      </c>
      <c r="L16" s="41">
        <v>1.115067589267057</v>
      </c>
      <c r="M16" s="41">
        <v>-1.879947229551449</v>
      </c>
      <c r="N16" s="32"/>
    </row>
    <row r="17" spans="1:14" x14ac:dyDescent="0.45">
      <c r="A17" s="50">
        <v>46238</v>
      </c>
      <c r="B17" s="44" t="s">
        <v>112</v>
      </c>
      <c r="C17" s="44" t="s">
        <v>67</v>
      </c>
      <c r="D17" s="44" t="s">
        <v>68</v>
      </c>
      <c r="E17" s="45">
        <v>76</v>
      </c>
      <c r="F17" s="46">
        <v>100.3</v>
      </c>
      <c r="G17" s="46">
        <v>10.002193463478809</v>
      </c>
      <c r="H17" s="44" t="s">
        <v>26</v>
      </c>
      <c r="I17" s="44" t="s">
        <v>47</v>
      </c>
      <c r="J17" s="46">
        <v>100.67700000000001</v>
      </c>
      <c r="K17" s="46">
        <v>113.8125</v>
      </c>
      <c r="L17" s="46">
        <v>1.190140821856561</v>
      </c>
      <c r="M17" s="46">
        <v>-8.8181818181818254</v>
      </c>
      <c r="N17" s="32"/>
    </row>
    <row r="18" spans="1:14" x14ac:dyDescent="0.45">
      <c r="A18" s="49">
        <v>46238</v>
      </c>
      <c r="B18" s="39" t="s">
        <v>112</v>
      </c>
      <c r="C18" s="48">
        <v>600489</v>
      </c>
      <c r="D18" s="39" t="s">
        <v>70</v>
      </c>
      <c r="E18" s="40">
        <v>75.599999999999994</v>
      </c>
      <c r="F18" s="41">
        <v>22.26</v>
      </c>
      <c r="G18" s="41">
        <v>-1.242236024844712</v>
      </c>
      <c r="H18" s="39" t="s">
        <v>28</v>
      </c>
      <c r="I18" s="39" t="s">
        <v>115</v>
      </c>
      <c r="J18" s="41">
        <v>22.024999999999999</v>
      </c>
      <c r="K18" s="41">
        <v>21.001999999999999</v>
      </c>
      <c r="L18" s="41">
        <v>0.77366769535233437</v>
      </c>
      <c r="M18" s="41">
        <v>7.1222329162656361</v>
      </c>
      <c r="N18" s="32"/>
    </row>
    <row r="19" spans="1:14" x14ac:dyDescent="0.45">
      <c r="A19" s="50">
        <v>46238</v>
      </c>
      <c r="B19" s="44" t="s">
        <v>112</v>
      </c>
      <c r="C19" s="43">
        <v>605305</v>
      </c>
      <c r="D19" s="44" t="s">
        <v>72</v>
      </c>
      <c r="E19" s="45">
        <v>75.400000000000006</v>
      </c>
      <c r="F19" s="46">
        <v>39.65</v>
      </c>
      <c r="G19" s="46">
        <v>1.875642343268225</v>
      </c>
      <c r="H19" s="44" t="s">
        <v>25</v>
      </c>
      <c r="I19" s="44" t="s">
        <v>45</v>
      </c>
      <c r="J19" s="46">
        <v>38.996000000000002</v>
      </c>
      <c r="K19" s="46">
        <v>39.589500000000001</v>
      </c>
      <c r="L19" s="46">
        <v>0.80171659547063767</v>
      </c>
      <c r="M19" s="46">
        <v>4.0955631399317349</v>
      </c>
      <c r="N19" s="32"/>
    </row>
    <row r="20" spans="1:14" x14ac:dyDescent="0.45">
      <c r="A20" s="49">
        <v>46238</v>
      </c>
      <c r="B20" s="39" t="s">
        <v>112</v>
      </c>
      <c r="C20" s="48">
        <v>605499</v>
      </c>
      <c r="D20" s="39" t="s">
        <v>73</v>
      </c>
      <c r="E20" s="40">
        <v>74.8</v>
      </c>
      <c r="F20" s="41">
        <v>126.45</v>
      </c>
      <c r="G20" s="41">
        <v>-2.4606602900339229</v>
      </c>
      <c r="H20" s="39" t="s">
        <v>26</v>
      </c>
      <c r="I20" s="39" t="s">
        <v>47</v>
      </c>
      <c r="J20" s="41">
        <v>132.108</v>
      </c>
      <c r="K20" s="41">
        <v>128.52600000000001</v>
      </c>
      <c r="L20" s="41">
        <v>0.89363821382750197</v>
      </c>
      <c r="M20" s="41">
        <v>-3.325688073394506</v>
      </c>
      <c r="N20" s="32"/>
    </row>
    <row r="21" spans="1:14" x14ac:dyDescent="0.45">
      <c r="A21" s="50">
        <v>46238</v>
      </c>
      <c r="B21" s="44" t="s">
        <v>112</v>
      </c>
      <c r="C21" s="43">
        <v>600236</v>
      </c>
      <c r="D21" s="44" t="s">
        <v>74</v>
      </c>
      <c r="E21" s="45">
        <v>74.5</v>
      </c>
      <c r="F21" s="46">
        <v>11.08</v>
      </c>
      <c r="G21" s="46">
        <v>0.27149321266968229</v>
      </c>
      <c r="H21" s="44" t="s">
        <v>25</v>
      </c>
      <c r="I21" s="44" t="s">
        <v>45</v>
      </c>
      <c r="J21" s="46">
        <v>10.936</v>
      </c>
      <c r="K21" s="46">
        <v>10.525</v>
      </c>
      <c r="L21" s="46">
        <v>0.8502148669798808</v>
      </c>
      <c r="M21" s="46">
        <v>-1.511111111111108</v>
      </c>
      <c r="N21" s="32"/>
    </row>
    <row r="22" spans="1:14" x14ac:dyDescent="0.45">
      <c r="A22" s="49">
        <v>46238</v>
      </c>
      <c r="B22" s="39" t="s">
        <v>112</v>
      </c>
      <c r="C22" s="39" t="s">
        <v>76</v>
      </c>
      <c r="D22" s="39" t="s">
        <v>77</v>
      </c>
      <c r="E22" s="40">
        <v>74.3</v>
      </c>
      <c r="F22" s="41">
        <v>64.209999999999994</v>
      </c>
      <c r="G22" s="41">
        <v>4.0849408331982362</v>
      </c>
      <c r="H22" s="39" t="s">
        <v>26</v>
      </c>
      <c r="I22" s="39" t="s">
        <v>47</v>
      </c>
      <c r="J22" s="41">
        <v>63.146999999999991</v>
      </c>
      <c r="K22" s="41">
        <v>66.120499999999993</v>
      </c>
      <c r="L22" s="41">
        <v>0.7719872833557806</v>
      </c>
      <c r="M22" s="41">
        <v>10.269620470547819</v>
      </c>
      <c r="N22" s="32"/>
    </row>
    <row r="23" spans="1:14" x14ac:dyDescent="0.45">
      <c r="A23" s="50">
        <v>46238</v>
      </c>
      <c r="B23" s="44" t="s">
        <v>112</v>
      </c>
      <c r="C23" s="43">
        <v>600499</v>
      </c>
      <c r="D23" s="44" t="s">
        <v>78</v>
      </c>
      <c r="E23" s="45">
        <v>73.599999999999994</v>
      </c>
      <c r="F23" s="46">
        <v>15.67</v>
      </c>
      <c r="G23" s="46">
        <v>-1.508485229415468</v>
      </c>
      <c r="H23" s="44" t="s">
        <v>29</v>
      </c>
      <c r="I23" s="44" t="s">
        <v>116</v>
      </c>
      <c r="J23" s="46">
        <v>15.847</v>
      </c>
      <c r="K23" s="46">
        <v>15.327500000000001</v>
      </c>
      <c r="L23" s="46">
        <v>1.014543802832562</v>
      </c>
      <c r="M23" s="46">
        <v>5.4508748317631186</v>
      </c>
      <c r="N23" s="32"/>
    </row>
    <row r="24" spans="1:14" x14ac:dyDescent="0.45">
      <c r="A24" s="49">
        <v>46238</v>
      </c>
      <c r="B24" s="39" t="s">
        <v>112</v>
      </c>
      <c r="C24" s="48">
        <v>603979</v>
      </c>
      <c r="D24" s="39" t="s">
        <v>79</v>
      </c>
      <c r="E24" s="40">
        <v>73.599999999999994</v>
      </c>
      <c r="F24" s="41">
        <v>71.53</v>
      </c>
      <c r="G24" s="41">
        <v>-4.1922861934040601E-2</v>
      </c>
      <c r="H24" s="39" t="s">
        <v>28</v>
      </c>
      <c r="I24" s="39" t="s">
        <v>117</v>
      </c>
      <c r="J24" s="41">
        <v>72.501999999999995</v>
      </c>
      <c r="K24" s="41">
        <v>68.707499999999996</v>
      </c>
      <c r="L24" s="41">
        <v>0.92087709092359393</v>
      </c>
      <c r="M24" s="41">
        <v>7.8395899291421767</v>
      </c>
      <c r="N24" s="32"/>
    </row>
    <row r="25" spans="1:14" x14ac:dyDescent="0.45">
      <c r="A25" s="50">
        <v>46238</v>
      </c>
      <c r="B25" s="44" t="s">
        <v>112</v>
      </c>
      <c r="C25" s="43">
        <v>600801</v>
      </c>
      <c r="D25" s="44" t="s">
        <v>81</v>
      </c>
      <c r="E25" s="45">
        <v>73</v>
      </c>
      <c r="F25" s="46">
        <v>21.46</v>
      </c>
      <c r="G25" s="46">
        <v>1.2264150943396279</v>
      </c>
      <c r="H25" s="44" t="s">
        <v>28</v>
      </c>
      <c r="I25" s="44" t="s">
        <v>118</v>
      </c>
      <c r="J25" s="46">
        <v>21.581</v>
      </c>
      <c r="K25" s="46">
        <v>20.241</v>
      </c>
      <c r="L25" s="46">
        <v>0.8670912551128469</v>
      </c>
      <c r="M25" s="46">
        <v>4.1747572815533873</v>
      </c>
      <c r="N25" s="32"/>
    </row>
    <row r="26" spans="1:14" x14ac:dyDescent="0.45">
      <c r="A26" s="49">
        <v>46238</v>
      </c>
      <c r="B26" s="39" t="s">
        <v>112</v>
      </c>
      <c r="C26" s="39" t="s">
        <v>83</v>
      </c>
      <c r="D26" s="39" t="s">
        <v>84</v>
      </c>
      <c r="E26" s="40">
        <v>72.400000000000006</v>
      </c>
      <c r="F26" s="41">
        <v>39.909999999999997</v>
      </c>
      <c r="G26" s="41">
        <v>2.1238485158648901</v>
      </c>
      <c r="H26" s="39" t="s">
        <v>26</v>
      </c>
      <c r="I26" s="39" t="s">
        <v>47</v>
      </c>
      <c r="J26" s="41">
        <v>39.654000000000003</v>
      </c>
      <c r="K26" s="41">
        <v>42.947499999999998</v>
      </c>
      <c r="L26" s="41">
        <v>0.62227090221873749</v>
      </c>
      <c r="M26" s="41">
        <v>0.45305814246161541</v>
      </c>
      <c r="N26" s="32"/>
    </row>
    <row r="27" spans="1:14" x14ac:dyDescent="0.45">
      <c r="A27" s="50">
        <v>46238</v>
      </c>
      <c r="B27" s="44" t="s">
        <v>112</v>
      </c>
      <c r="C27" s="43">
        <v>603317</v>
      </c>
      <c r="D27" s="44" t="s">
        <v>86</v>
      </c>
      <c r="E27" s="45">
        <v>71.5</v>
      </c>
      <c r="F27" s="46">
        <v>14.93</v>
      </c>
      <c r="G27" s="46">
        <v>0.81026333558404939</v>
      </c>
      <c r="H27" s="44" t="s">
        <v>27</v>
      </c>
      <c r="I27" s="44" t="s">
        <v>119</v>
      </c>
      <c r="J27" s="46">
        <v>14.337</v>
      </c>
      <c r="K27" s="46">
        <v>14</v>
      </c>
      <c r="L27" s="46">
        <v>0.6164277145406386</v>
      </c>
      <c r="M27" s="46">
        <v>8.1100651701665463</v>
      </c>
      <c r="N27" s="32"/>
    </row>
    <row r="28" spans="1:14" x14ac:dyDescent="0.45">
      <c r="A28" s="49">
        <v>46238</v>
      </c>
      <c r="B28" s="39" t="s">
        <v>112</v>
      </c>
      <c r="C28" s="48">
        <v>300540</v>
      </c>
      <c r="D28" s="39" t="s">
        <v>85</v>
      </c>
      <c r="E28" s="40">
        <v>71.5</v>
      </c>
      <c r="F28" s="41">
        <v>26.25</v>
      </c>
      <c r="G28" s="41">
        <v>3.8370253164556889</v>
      </c>
      <c r="H28" s="39" t="s">
        <v>26</v>
      </c>
      <c r="I28" s="39" t="s">
        <v>47</v>
      </c>
      <c r="J28" s="41">
        <v>27.925999999999998</v>
      </c>
      <c r="K28" s="41">
        <v>33.159000000000013</v>
      </c>
      <c r="L28" s="41">
        <v>0.77725440091893216</v>
      </c>
      <c r="M28" s="41">
        <v>-15.567706658089421</v>
      </c>
      <c r="N28" s="32"/>
    </row>
    <row r="29" spans="1:14" x14ac:dyDescent="0.45">
      <c r="A29" s="50">
        <v>46238</v>
      </c>
      <c r="B29" s="44" t="s">
        <v>112</v>
      </c>
      <c r="C29" s="44" t="s">
        <v>88</v>
      </c>
      <c r="D29" s="44" t="s">
        <v>89</v>
      </c>
      <c r="E29" s="45">
        <v>70.599999999999994</v>
      </c>
      <c r="F29" s="46">
        <v>9.24</v>
      </c>
      <c r="G29" s="46">
        <v>0.65359477124182774</v>
      </c>
      <c r="H29" s="44" t="s">
        <v>27</v>
      </c>
      <c r="I29" s="44" t="s">
        <v>120</v>
      </c>
      <c r="J29" s="46">
        <v>9.0569999999999986</v>
      </c>
      <c r="K29" s="46">
        <v>9.0075000000000003</v>
      </c>
      <c r="L29" s="46">
        <v>0.92347901971575663</v>
      </c>
      <c r="M29" s="46">
        <v>3.7037037037036979</v>
      </c>
      <c r="N29" s="32"/>
    </row>
    <row r="30" spans="1:14" x14ac:dyDescent="0.45">
      <c r="A30" s="49">
        <v>46238</v>
      </c>
      <c r="B30" s="39" t="s">
        <v>112</v>
      </c>
      <c r="C30" s="48">
        <v>300031</v>
      </c>
      <c r="D30" s="39" t="s">
        <v>90</v>
      </c>
      <c r="E30" s="40">
        <v>68.5</v>
      </c>
      <c r="F30" s="41">
        <v>21.27</v>
      </c>
      <c r="G30" s="41">
        <v>8.7423312883435642</v>
      </c>
      <c r="H30" s="39" t="s">
        <v>25</v>
      </c>
      <c r="I30" s="39" t="s">
        <v>45</v>
      </c>
      <c r="J30" s="41">
        <v>18.984999999999999</v>
      </c>
      <c r="K30" s="41">
        <v>19.872499999999999</v>
      </c>
      <c r="L30" s="41">
        <v>1.62844142884272</v>
      </c>
      <c r="M30" s="41">
        <v>8.5758039816232756</v>
      </c>
      <c r="N30" s="32"/>
    </row>
    <row r="31" spans="1:14" x14ac:dyDescent="0.45">
      <c r="A31" s="50">
        <v>46238</v>
      </c>
      <c r="B31" s="44" t="s">
        <v>112</v>
      </c>
      <c r="C31" s="44" t="s">
        <v>91</v>
      </c>
      <c r="D31" s="44" t="s">
        <v>92</v>
      </c>
      <c r="E31" s="45">
        <v>68</v>
      </c>
      <c r="F31" s="46">
        <v>71.97</v>
      </c>
      <c r="G31" s="46">
        <v>9.9954149472718754</v>
      </c>
      <c r="H31" s="44" t="s">
        <v>26</v>
      </c>
      <c r="I31" s="44" t="s">
        <v>47</v>
      </c>
      <c r="J31" s="46">
        <v>71.061999999999998</v>
      </c>
      <c r="K31" s="46">
        <v>79.590499999999992</v>
      </c>
      <c r="L31" s="46">
        <v>0.86642951465143581</v>
      </c>
      <c r="M31" s="46">
        <v>-8.9448380566801706</v>
      </c>
      <c r="N31" s="32"/>
    </row>
    <row r="32" spans="1:14" x14ac:dyDescent="0.45">
      <c r="A32" s="49">
        <v>46238</v>
      </c>
      <c r="B32" s="39" t="s">
        <v>112</v>
      </c>
      <c r="C32" s="48">
        <v>600520</v>
      </c>
      <c r="D32" s="39" t="s">
        <v>93</v>
      </c>
      <c r="E32" s="40">
        <v>67.599999999999994</v>
      </c>
      <c r="F32" s="41">
        <v>22.29</v>
      </c>
      <c r="G32" s="41">
        <v>5.7400379506641341</v>
      </c>
      <c r="H32" s="39" t="s">
        <v>26</v>
      </c>
      <c r="I32" s="39" t="s">
        <v>47</v>
      </c>
      <c r="J32" s="41">
        <v>22.594999999999999</v>
      </c>
      <c r="K32" s="41">
        <v>26.53</v>
      </c>
      <c r="L32" s="41">
        <v>0.80990272429264976</v>
      </c>
      <c r="M32" s="41">
        <v>-9.9757673667205218</v>
      </c>
      <c r="N32" s="32"/>
    </row>
    <row r="33" spans="1:14" x14ac:dyDescent="0.45">
      <c r="A33" s="50">
        <v>46238</v>
      </c>
      <c r="B33" s="44" t="s">
        <v>112</v>
      </c>
      <c r="C33" s="43">
        <v>300191</v>
      </c>
      <c r="D33" s="44" t="s">
        <v>94</v>
      </c>
      <c r="E33" s="45">
        <v>67.400000000000006</v>
      </c>
      <c r="F33" s="46">
        <v>29.47</v>
      </c>
      <c r="G33" s="46">
        <v>5.5515759312320778</v>
      </c>
      <c r="H33" s="44" t="s">
        <v>25</v>
      </c>
      <c r="I33" s="44" t="s">
        <v>45</v>
      </c>
      <c r="J33" s="46">
        <v>29.172000000000001</v>
      </c>
      <c r="K33" s="46">
        <v>28.164999999999999</v>
      </c>
      <c r="L33" s="46">
        <v>1.0631765764895</v>
      </c>
      <c r="M33" s="46">
        <v>11.67108753315649</v>
      </c>
      <c r="N33" s="32"/>
    </row>
    <row r="34" spans="1:14" x14ac:dyDescent="0.45">
      <c r="A34" s="49">
        <v>46238</v>
      </c>
      <c r="B34" s="39" t="s">
        <v>112</v>
      </c>
      <c r="C34" s="39" t="s">
        <v>96</v>
      </c>
      <c r="D34" s="39" t="s">
        <v>97</v>
      </c>
      <c r="E34" s="40">
        <v>64.400000000000006</v>
      </c>
      <c r="F34" s="41">
        <v>5.12</v>
      </c>
      <c r="G34" s="41">
        <v>10.10752688172043</v>
      </c>
      <c r="H34" s="39" t="s">
        <v>25</v>
      </c>
      <c r="I34" s="39" t="s">
        <v>45</v>
      </c>
      <c r="J34" s="41">
        <v>4.8050000000000006</v>
      </c>
      <c r="K34" s="41">
        <v>4.7134999999999998</v>
      </c>
      <c r="L34" s="41">
        <v>1.291649075684602</v>
      </c>
      <c r="M34" s="41">
        <v>14.031180400890859</v>
      </c>
      <c r="N34" s="32"/>
    </row>
    <row r="35" spans="1:14" ht="27.75" x14ac:dyDescent="0.45">
      <c r="A35" s="50">
        <v>46238</v>
      </c>
      <c r="B35" s="44" t="s">
        <v>112</v>
      </c>
      <c r="C35" s="44" t="s">
        <v>99</v>
      </c>
      <c r="D35" s="44" t="s">
        <v>100</v>
      </c>
      <c r="E35" s="45">
        <v>52</v>
      </c>
      <c r="F35" s="46">
        <v>10.66</v>
      </c>
      <c r="G35" s="46">
        <v>10.010319917440659</v>
      </c>
      <c r="H35" s="44" t="s">
        <v>31</v>
      </c>
      <c r="I35" s="44" t="s">
        <v>121</v>
      </c>
      <c r="J35" s="46">
        <v>7.35</v>
      </c>
      <c r="K35" s="46">
        <v>6.3340000000000014</v>
      </c>
      <c r="L35" s="46">
        <v>1.2307481471137811</v>
      </c>
      <c r="M35" s="46">
        <v>96.678966789667896</v>
      </c>
      <c r="N35" s="32"/>
    </row>
    <row r="36" spans="1:14" x14ac:dyDescent="0.45">
      <c r="A36" s="49">
        <v>46238</v>
      </c>
      <c r="B36" s="39" t="s">
        <v>112</v>
      </c>
      <c r="C36" s="48">
        <v>300497</v>
      </c>
      <c r="D36" s="39" t="s">
        <v>102</v>
      </c>
      <c r="E36" s="40">
        <v>47.5</v>
      </c>
      <c r="F36" s="41">
        <v>16.5</v>
      </c>
      <c r="G36" s="41">
        <v>3.773584905660377</v>
      </c>
      <c r="H36" s="39" t="s">
        <v>26</v>
      </c>
      <c r="I36" s="39" t="s">
        <v>47</v>
      </c>
      <c r="J36" s="41">
        <v>16.858000000000001</v>
      </c>
      <c r="K36" s="41">
        <v>17.314499999999999</v>
      </c>
      <c r="L36" s="41">
        <v>0.76643030481376739</v>
      </c>
      <c r="M36" s="41">
        <v>-2.769593400117853</v>
      </c>
      <c r="N36" s="32"/>
    </row>
    <row r="37" spans="1:14" x14ac:dyDescent="0.45">
      <c r="A37" s="50">
        <v>46238</v>
      </c>
      <c r="B37" s="44" t="s">
        <v>112</v>
      </c>
      <c r="C37" s="44" t="s">
        <v>103</v>
      </c>
      <c r="D37" s="44" t="s">
        <v>104</v>
      </c>
      <c r="E37" s="45">
        <v>44.5</v>
      </c>
      <c r="F37" s="46">
        <v>7.22</v>
      </c>
      <c r="G37" s="46">
        <v>4.9418604651162878</v>
      </c>
      <c r="H37" s="44" t="s">
        <v>25</v>
      </c>
      <c r="I37" s="44" t="s">
        <v>45</v>
      </c>
      <c r="J37" s="46">
        <v>6.8609999999999998</v>
      </c>
      <c r="K37" s="46">
        <v>6.2789999999999999</v>
      </c>
      <c r="L37" s="46">
        <v>1.0186382263346001</v>
      </c>
      <c r="M37" s="46">
        <v>13.8801261829653</v>
      </c>
      <c r="N37" s="32"/>
    </row>
    <row r="38" spans="1:14" x14ac:dyDescent="0.45">
      <c r="A38" s="49">
        <v>46239</v>
      </c>
      <c r="B38" s="39" t="s">
        <v>112</v>
      </c>
      <c r="C38" s="39" t="s">
        <v>43</v>
      </c>
      <c r="D38" s="39" t="s">
        <v>44</v>
      </c>
      <c r="E38" s="40">
        <v>86.3</v>
      </c>
      <c r="F38" s="41">
        <v>57.43</v>
      </c>
      <c r="G38" s="41">
        <v>9.9980846581114733</v>
      </c>
      <c r="H38" s="39" t="s">
        <v>26</v>
      </c>
      <c r="I38" s="39" t="s">
        <v>47</v>
      </c>
      <c r="J38" s="41">
        <v>53.430999999999997</v>
      </c>
      <c r="K38" s="41">
        <v>60.078000000000003</v>
      </c>
      <c r="L38" s="41">
        <v>1.2796619024497511</v>
      </c>
      <c r="M38" s="41">
        <v>-1.1701944587850679</v>
      </c>
      <c r="N38" s="32"/>
    </row>
    <row r="39" spans="1:14" x14ac:dyDescent="0.45">
      <c r="A39" s="50">
        <v>46239</v>
      </c>
      <c r="B39" s="44" t="s">
        <v>112</v>
      </c>
      <c r="C39" s="43">
        <v>603986</v>
      </c>
      <c r="D39" s="44" t="s">
        <v>46</v>
      </c>
      <c r="E39" s="45">
        <v>86.3</v>
      </c>
      <c r="F39" s="46">
        <v>385.44</v>
      </c>
      <c r="G39" s="46">
        <v>8.2635806977136248</v>
      </c>
      <c r="H39" s="44" t="s">
        <v>26</v>
      </c>
      <c r="I39" s="44" t="s">
        <v>47</v>
      </c>
      <c r="J39" s="46">
        <v>392.95499999999998</v>
      </c>
      <c r="K39" s="46">
        <v>463.36049999999989</v>
      </c>
      <c r="L39" s="46">
        <v>0.86376496773561273</v>
      </c>
      <c r="M39" s="46">
        <v>-17.991489361702129</v>
      </c>
      <c r="N39" s="32"/>
    </row>
    <row r="40" spans="1:14" x14ac:dyDescent="0.45">
      <c r="A40" s="49">
        <v>46239</v>
      </c>
      <c r="B40" s="39" t="s">
        <v>112</v>
      </c>
      <c r="C40" s="48">
        <v>601899</v>
      </c>
      <c r="D40" s="39" t="s">
        <v>48</v>
      </c>
      <c r="E40" s="40">
        <v>81.8</v>
      </c>
      <c r="F40" s="41">
        <v>34.1</v>
      </c>
      <c r="G40" s="41">
        <v>6.164383561643838</v>
      </c>
      <c r="H40" s="39" t="s">
        <v>31</v>
      </c>
      <c r="I40" s="39" t="s">
        <v>122</v>
      </c>
      <c r="J40" s="41">
        <v>32.46</v>
      </c>
      <c r="K40" s="41">
        <v>30.728000000000002</v>
      </c>
      <c r="L40" s="41">
        <v>1.7790804929502211</v>
      </c>
      <c r="M40" s="41">
        <v>5.9006211180124168</v>
      </c>
      <c r="N40" s="32"/>
    </row>
    <row r="41" spans="1:14" x14ac:dyDescent="0.45">
      <c r="A41" s="50">
        <v>46239</v>
      </c>
      <c r="B41" s="44" t="s">
        <v>112</v>
      </c>
      <c r="C41" s="43">
        <v>603061</v>
      </c>
      <c r="D41" s="44" t="s">
        <v>50</v>
      </c>
      <c r="E41" s="45">
        <v>81.400000000000006</v>
      </c>
      <c r="F41" s="46">
        <v>292.86</v>
      </c>
      <c r="G41" s="46">
        <v>9.9984975961538538</v>
      </c>
      <c r="H41" s="44" t="s">
        <v>26</v>
      </c>
      <c r="I41" s="44" t="s">
        <v>47</v>
      </c>
      <c r="J41" s="46">
        <v>275.73200000000003</v>
      </c>
      <c r="K41" s="46">
        <v>321.58499999999998</v>
      </c>
      <c r="L41" s="46">
        <v>0.33708990513087411</v>
      </c>
      <c r="M41" s="46">
        <v>-6.8422559404523353</v>
      </c>
      <c r="N41" s="32"/>
    </row>
    <row r="42" spans="1:14" x14ac:dyDescent="0.45">
      <c r="A42" s="49">
        <v>46239</v>
      </c>
      <c r="B42" s="39" t="s">
        <v>112</v>
      </c>
      <c r="C42" s="39" t="s">
        <v>51</v>
      </c>
      <c r="D42" s="39" t="s">
        <v>52</v>
      </c>
      <c r="E42" s="40">
        <v>79.599999999999994</v>
      </c>
      <c r="F42" s="41">
        <v>64.09</v>
      </c>
      <c r="G42" s="41">
        <v>4.8592931937172956</v>
      </c>
      <c r="H42" s="39" t="s">
        <v>26</v>
      </c>
      <c r="I42" s="39" t="s">
        <v>47</v>
      </c>
      <c r="J42" s="41">
        <v>64.046000000000006</v>
      </c>
      <c r="K42" s="41">
        <v>67.665999999999997</v>
      </c>
      <c r="L42" s="41">
        <v>0.95090280788554227</v>
      </c>
      <c r="M42" s="41">
        <v>-9.9733108582666041</v>
      </c>
      <c r="N42" s="32"/>
    </row>
    <row r="43" spans="1:14" x14ac:dyDescent="0.45">
      <c r="A43" s="50">
        <v>46239</v>
      </c>
      <c r="B43" s="44" t="s">
        <v>112</v>
      </c>
      <c r="C43" s="44" t="s">
        <v>53</v>
      </c>
      <c r="D43" s="44" t="s">
        <v>54</v>
      </c>
      <c r="E43" s="45">
        <v>78.5</v>
      </c>
      <c r="F43" s="46">
        <v>386.24</v>
      </c>
      <c r="G43" s="46">
        <v>6.0574441210390573</v>
      </c>
      <c r="H43" s="44" t="s">
        <v>26</v>
      </c>
      <c r="I43" s="44" t="s">
        <v>47</v>
      </c>
      <c r="J43" s="46">
        <v>382.78699999999998</v>
      </c>
      <c r="K43" s="46">
        <v>509.375</v>
      </c>
      <c r="L43" s="46">
        <v>0.91755100536777356</v>
      </c>
      <c r="M43" s="46">
        <v>-15.52055993000875</v>
      </c>
      <c r="N43" s="32"/>
    </row>
    <row r="44" spans="1:14" x14ac:dyDescent="0.45">
      <c r="A44" s="49">
        <v>46239</v>
      </c>
      <c r="B44" s="39" t="s">
        <v>112</v>
      </c>
      <c r="C44" s="39" t="s">
        <v>55</v>
      </c>
      <c r="D44" s="39" t="s">
        <v>56</v>
      </c>
      <c r="E44" s="40">
        <v>78.2</v>
      </c>
      <c r="F44" s="41">
        <v>24.22</v>
      </c>
      <c r="G44" s="41">
        <v>7.3581560283688008</v>
      </c>
      <c r="H44" s="39" t="s">
        <v>27</v>
      </c>
      <c r="I44" s="39" t="s">
        <v>123</v>
      </c>
      <c r="J44" s="41">
        <v>22.76</v>
      </c>
      <c r="K44" s="41">
        <v>21.272500000000001</v>
      </c>
      <c r="L44" s="41">
        <v>1.1359448044013361</v>
      </c>
      <c r="M44" s="41">
        <v>7.5488454706927222</v>
      </c>
      <c r="N44" s="32"/>
    </row>
    <row r="45" spans="1:14" x14ac:dyDescent="0.45">
      <c r="A45" s="50">
        <v>46239</v>
      </c>
      <c r="B45" s="44" t="s">
        <v>112</v>
      </c>
      <c r="C45" s="43">
        <v>300666</v>
      </c>
      <c r="D45" s="44" t="s">
        <v>58</v>
      </c>
      <c r="E45" s="45">
        <v>77.5</v>
      </c>
      <c r="F45" s="46">
        <v>222.4</v>
      </c>
      <c r="G45" s="46">
        <v>11.15553778488605</v>
      </c>
      <c r="H45" s="44" t="s">
        <v>26</v>
      </c>
      <c r="I45" s="44" t="s">
        <v>47</v>
      </c>
      <c r="J45" s="46">
        <v>214.876</v>
      </c>
      <c r="K45" s="46">
        <v>244.72149999999999</v>
      </c>
      <c r="L45" s="46">
        <v>1.2741519303921529</v>
      </c>
      <c r="M45" s="46">
        <v>-5.3939084566955948</v>
      </c>
      <c r="N45" s="32"/>
    </row>
    <row r="46" spans="1:14" x14ac:dyDescent="0.45">
      <c r="A46" s="49">
        <v>46239</v>
      </c>
      <c r="B46" s="39" t="s">
        <v>112</v>
      </c>
      <c r="C46" s="48">
        <v>601869</v>
      </c>
      <c r="D46" s="39" t="s">
        <v>59</v>
      </c>
      <c r="E46" s="40">
        <v>77.5</v>
      </c>
      <c r="F46" s="41">
        <v>312.39999999999998</v>
      </c>
      <c r="G46" s="41">
        <v>9.9999999999999858</v>
      </c>
      <c r="H46" s="39" t="s">
        <v>26</v>
      </c>
      <c r="I46" s="39" t="s">
        <v>47</v>
      </c>
      <c r="J46" s="41">
        <v>300.05200000000002</v>
      </c>
      <c r="K46" s="41">
        <v>349.10250000000002</v>
      </c>
      <c r="L46" s="41">
        <v>1.158620827253491</v>
      </c>
      <c r="M46" s="41">
        <v>-14.656467695670001</v>
      </c>
      <c r="N46" s="32"/>
    </row>
    <row r="47" spans="1:14" x14ac:dyDescent="0.45">
      <c r="A47" s="50">
        <v>46239</v>
      </c>
      <c r="B47" s="44" t="s">
        <v>112</v>
      </c>
      <c r="C47" s="43">
        <v>603256</v>
      </c>
      <c r="D47" s="44" t="s">
        <v>62</v>
      </c>
      <c r="E47" s="45">
        <v>77.3</v>
      </c>
      <c r="F47" s="46">
        <v>138.11000000000001</v>
      </c>
      <c r="G47" s="46">
        <v>10.00398247710077</v>
      </c>
      <c r="H47" s="44" t="s">
        <v>26</v>
      </c>
      <c r="I47" s="44" t="s">
        <v>47</v>
      </c>
      <c r="J47" s="46">
        <v>137.99299999999999</v>
      </c>
      <c r="K47" s="46">
        <v>159.00649999999999</v>
      </c>
      <c r="L47" s="46">
        <v>0.8571099047898818</v>
      </c>
      <c r="M47" s="46">
        <v>-10.931252418418669</v>
      </c>
      <c r="N47" s="32"/>
    </row>
    <row r="48" spans="1:14" x14ac:dyDescent="0.45">
      <c r="A48" s="49">
        <v>46239</v>
      </c>
      <c r="B48" s="39" t="s">
        <v>112</v>
      </c>
      <c r="C48" s="39" t="s">
        <v>60</v>
      </c>
      <c r="D48" s="39" t="s">
        <v>61</v>
      </c>
      <c r="E48" s="40">
        <v>77.3</v>
      </c>
      <c r="F48" s="41">
        <v>17.86</v>
      </c>
      <c r="G48" s="41">
        <v>5.7430432208407378</v>
      </c>
      <c r="H48" s="39" t="s">
        <v>26</v>
      </c>
      <c r="I48" s="39" t="s">
        <v>47</v>
      </c>
      <c r="J48" s="41">
        <v>16.550999999999998</v>
      </c>
      <c r="K48" s="41">
        <v>18.392499999999998</v>
      </c>
      <c r="L48" s="41">
        <v>1.5115183008832249</v>
      </c>
      <c r="M48" s="41">
        <v>4.5667447306791731</v>
      </c>
      <c r="N48" s="32"/>
    </row>
    <row r="49" spans="1:14" x14ac:dyDescent="0.45">
      <c r="A49" s="50">
        <v>46239</v>
      </c>
      <c r="B49" s="44" t="s">
        <v>112</v>
      </c>
      <c r="C49" s="44" t="s">
        <v>63</v>
      </c>
      <c r="D49" s="44" t="s">
        <v>64</v>
      </c>
      <c r="E49" s="45">
        <v>76.400000000000006</v>
      </c>
      <c r="F49" s="46">
        <v>34.56</v>
      </c>
      <c r="G49" s="46">
        <v>9.993634627625724</v>
      </c>
      <c r="H49" s="44" t="s">
        <v>25</v>
      </c>
      <c r="I49" s="44" t="s">
        <v>45</v>
      </c>
      <c r="J49" s="46">
        <v>30.844000000000001</v>
      </c>
      <c r="K49" s="46">
        <v>32.451500000000003</v>
      </c>
      <c r="L49" s="46">
        <v>1.469829638735743</v>
      </c>
      <c r="M49" s="46">
        <v>10.982658959537581</v>
      </c>
      <c r="N49" s="32"/>
    </row>
    <row r="50" spans="1:14" x14ac:dyDescent="0.45">
      <c r="A50" s="49">
        <v>46239</v>
      </c>
      <c r="B50" s="39" t="s">
        <v>112</v>
      </c>
      <c r="C50" s="48">
        <v>600549</v>
      </c>
      <c r="D50" s="39" t="s">
        <v>66</v>
      </c>
      <c r="E50" s="40">
        <v>76.2</v>
      </c>
      <c r="F50" s="41">
        <v>53.72</v>
      </c>
      <c r="G50" s="41">
        <v>8.7889833940866691</v>
      </c>
      <c r="H50" s="39" t="s">
        <v>25</v>
      </c>
      <c r="I50" s="39" t="s">
        <v>45</v>
      </c>
      <c r="J50" s="41">
        <v>48.478999999999999</v>
      </c>
      <c r="K50" s="41">
        <v>52.323500000000003</v>
      </c>
      <c r="L50" s="41">
        <v>2.0104601068392318</v>
      </c>
      <c r="M50" s="41">
        <v>8.3938660209846638</v>
      </c>
      <c r="N50" s="32"/>
    </row>
    <row r="51" spans="1:14" x14ac:dyDescent="0.45">
      <c r="A51" s="50">
        <v>46239</v>
      </c>
      <c r="B51" s="44" t="s">
        <v>112</v>
      </c>
      <c r="C51" s="43">
        <v>600183</v>
      </c>
      <c r="D51" s="44" t="s">
        <v>65</v>
      </c>
      <c r="E51" s="45">
        <v>76.2</v>
      </c>
      <c r="F51" s="46">
        <v>122.79</v>
      </c>
      <c r="G51" s="46">
        <v>9.4092488639401228</v>
      </c>
      <c r="H51" s="44" t="s">
        <v>26</v>
      </c>
      <c r="I51" s="44" t="s">
        <v>47</v>
      </c>
      <c r="J51" s="46">
        <v>113.414</v>
      </c>
      <c r="K51" s="46">
        <v>127</v>
      </c>
      <c r="L51" s="46">
        <v>1.2241688700086151</v>
      </c>
      <c r="M51" s="46">
        <v>-2.547619047619043</v>
      </c>
      <c r="N51" s="32"/>
    </row>
    <row r="52" spans="1:14" x14ac:dyDescent="0.45">
      <c r="A52" s="49">
        <v>46239</v>
      </c>
      <c r="B52" s="39" t="s">
        <v>112</v>
      </c>
      <c r="C52" s="48">
        <v>301201</v>
      </c>
      <c r="D52" s="39" t="s">
        <v>69</v>
      </c>
      <c r="E52" s="40">
        <v>76</v>
      </c>
      <c r="F52" s="41">
        <v>31.18</v>
      </c>
      <c r="G52" s="41">
        <v>4.8067226890756256</v>
      </c>
      <c r="H52" s="39" t="s">
        <v>26</v>
      </c>
      <c r="I52" s="39" t="s">
        <v>47</v>
      </c>
      <c r="J52" s="41">
        <v>28.507999999999999</v>
      </c>
      <c r="K52" s="41">
        <v>31.61</v>
      </c>
      <c r="L52" s="41">
        <v>1.308809769843486</v>
      </c>
      <c r="M52" s="41">
        <v>4.6308724832214709</v>
      </c>
      <c r="N52" s="32"/>
    </row>
    <row r="53" spans="1:14" x14ac:dyDescent="0.45">
      <c r="A53" s="50">
        <v>46239</v>
      </c>
      <c r="B53" s="44" t="s">
        <v>112</v>
      </c>
      <c r="C53" s="44" t="s">
        <v>67</v>
      </c>
      <c r="D53" s="44" t="s">
        <v>68</v>
      </c>
      <c r="E53" s="45">
        <v>76</v>
      </c>
      <c r="F53" s="46">
        <v>108.63</v>
      </c>
      <c r="G53" s="46">
        <v>8.3050847457627022</v>
      </c>
      <c r="H53" s="44" t="s">
        <v>26</v>
      </c>
      <c r="I53" s="44" t="s">
        <v>47</v>
      </c>
      <c r="J53" s="46">
        <v>100.684</v>
      </c>
      <c r="K53" s="46">
        <v>112.14700000000001</v>
      </c>
      <c r="L53" s="46">
        <v>1.3696292878953451</v>
      </c>
      <c r="M53" s="46">
        <v>6.4480471628591829E-2</v>
      </c>
      <c r="N53" s="32"/>
    </row>
    <row r="54" spans="1:14" x14ac:dyDescent="0.45">
      <c r="A54" s="49">
        <v>46239</v>
      </c>
      <c r="B54" s="39" t="s">
        <v>112</v>
      </c>
      <c r="C54" s="48">
        <v>600489</v>
      </c>
      <c r="D54" s="39" t="s">
        <v>70</v>
      </c>
      <c r="E54" s="40">
        <v>75.599999999999994</v>
      </c>
      <c r="F54" s="41">
        <v>24.25</v>
      </c>
      <c r="G54" s="41">
        <v>8.939802336028734</v>
      </c>
      <c r="H54" s="39" t="s">
        <v>27</v>
      </c>
      <c r="I54" s="39" t="s">
        <v>124</v>
      </c>
      <c r="J54" s="41">
        <v>22.239000000000001</v>
      </c>
      <c r="K54" s="41">
        <v>21.220500000000001</v>
      </c>
      <c r="L54" s="41">
        <v>1.4017901572711631</v>
      </c>
      <c r="M54" s="41">
        <v>9.678878335594753</v>
      </c>
      <c r="N54" s="32"/>
    </row>
    <row r="55" spans="1:14" x14ac:dyDescent="0.45">
      <c r="A55" s="50">
        <v>46239</v>
      </c>
      <c r="B55" s="44" t="s">
        <v>112</v>
      </c>
      <c r="C55" s="43">
        <v>605305</v>
      </c>
      <c r="D55" s="44" t="s">
        <v>72</v>
      </c>
      <c r="E55" s="45">
        <v>75.400000000000006</v>
      </c>
      <c r="F55" s="46">
        <v>39.799999999999997</v>
      </c>
      <c r="G55" s="46">
        <v>0.37831021437577661</v>
      </c>
      <c r="H55" s="44" t="s">
        <v>25</v>
      </c>
      <c r="I55" s="44" t="s">
        <v>45</v>
      </c>
      <c r="J55" s="46">
        <v>39.084999999999987</v>
      </c>
      <c r="K55" s="46">
        <v>39.358999999999988</v>
      </c>
      <c r="L55" s="46">
        <v>0.93496866353255981</v>
      </c>
      <c r="M55" s="46">
        <v>2.287329735286558</v>
      </c>
      <c r="N55" s="32"/>
    </row>
    <row r="56" spans="1:14" x14ac:dyDescent="0.45">
      <c r="A56" s="49">
        <v>46239</v>
      </c>
      <c r="B56" s="39" t="s">
        <v>112</v>
      </c>
      <c r="C56" s="48">
        <v>605499</v>
      </c>
      <c r="D56" s="39" t="s">
        <v>73</v>
      </c>
      <c r="E56" s="40">
        <v>74.8</v>
      </c>
      <c r="F56" s="41">
        <v>122.54</v>
      </c>
      <c r="G56" s="41">
        <v>-3.092131277184651</v>
      </c>
      <c r="H56" s="39" t="s">
        <v>26</v>
      </c>
      <c r="I56" s="39" t="s">
        <v>47</v>
      </c>
      <c r="J56" s="41">
        <v>131.28200000000001</v>
      </c>
      <c r="K56" s="41">
        <v>128.26249999999999</v>
      </c>
      <c r="L56" s="41">
        <v>1.20597207828839</v>
      </c>
      <c r="M56" s="41">
        <v>-6.3149847094801199</v>
      </c>
      <c r="N56" s="32"/>
    </row>
    <row r="57" spans="1:14" x14ac:dyDescent="0.45">
      <c r="A57" s="50">
        <v>46239</v>
      </c>
      <c r="B57" s="44" t="s">
        <v>112</v>
      </c>
      <c r="C57" s="43">
        <v>600236</v>
      </c>
      <c r="D57" s="44" t="s">
        <v>74</v>
      </c>
      <c r="E57" s="45">
        <v>74.5</v>
      </c>
      <c r="F57" s="46">
        <v>11.13</v>
      </c>
      <c r="G57" s="46">
        <v>0.4512635379061436</v>
      </c>
      <c r="H57" s="44" t="s">
        <v>27</v>
      </c>
      <c r="I57" s="44" t="s">
        <v>125</v>
      </c>
      <c r="J57" s="46">
        <v>10.824999999999999</v>
      </c>
      <c r="K57" s="46">
        <v>10.606</v>
      </c>
      <c r="L57" s="46">
        <v>0.81401900690778306</v>
      </c>
      <c r="M57" s="46">
        <v>-9.068627450980383</v>
      </c>
      <c r="N57" s="32"/>
    </row>
    <row r="58" spans="1:14" x14ac:dyDescent="0.45">
      <c r="A58" s="49">
        <v>46239</v>
      </c>
      <c r="B58" s="39" t="s">
        <v>112</v>
      </c>
      <c r="C58" s="39" t="s">
        <v>76</v>
      </c>
      <c r="D58" s="39" t="s">
        <v>77</v>
      </c>
      <c r="E58" s="40">
        <v>74.3</v>
      </c>
      <c r="F58" s="41">
        <v>67.56</v>
      </c>
      <c r="G58" s="41">
        <v>5.2172558791465651</v>
      </c>
      <c r="H58" s="39" t="s">
        <v>25</v>
      </c>
      <c r="I58" s="39" t="s">
        <v>45</v>
      </c>
      <c r="J58" s="41">
        <v>63.863</v>
      </c>
      <c r="K58" s="41">
        <v>65.106500000000011</v>
      </c>
      <c r="L58" s="41">
        <v>0.96601265609889519</v>
      </c>
      <c r="M58" s="41">
        <v>11.854304635761601</v>
      </c>
      <c r="N58" s="32"/>
    </row>
    <row r="59" spans="1:14" x14ac:dyDescent="0.45">
      <c r="A59" s="50">
        <v>46239</v>
      </c>
      <c r="B59" s="44" t="s">
        <v>112</v>
      </c>
      <c r="C59" s="43">
        <v>600499</v>
      </c>
      <c r="D59" s="44" t="s">
        <v>78</v>
      </c>
      <c r="E59" s="45">
        <v>73.599999999999994</v>
      </c>
      <c r="F59" s="46">
        <v>14.52</v>
      </c>
      <c r="G59" s="46">
        <v>-7.3388640714741609</v>
      </c>
      <c r="H59" s="44" t="s">
        <v>26</v>
      </c>
      <c r="I59" s="44" t="s">
        <v>47</v>
      </c>
      <c r="J59" s="46">
        <v>15.765000000000001</v>
      </c>
      <c r="K59" s="46">
        <v>15.288</v>
      </c>
      <c r="L59" s="46">
        <v>2.631000414512934</v>
      </c>
      <c r="M59" s="46">
        <v>-5.34550195567145</v>
      </c>
      <c r="N59" s="32"/>
    </row>
    <row r="60" spans="1:14" x14ac:dyDescent="0.45">
      <c r="A60" s="49">
        <v>46239</v>
      </c>
      <c r="B60" s="39" t="s">
        <v>112</v>
      </c>
      <c r="C60" s="48">
        <v>603979</v>
      </c>
      <c r="D60" s="39" t="s">
        <v>79</v>
      </c>
      <c r="E60" s="40">
        <v>73.599999999999994</v>
      </c>
      <c r="F60" s="41">
        <v>78.680000000000007</v>
      </c>
      <c r="G60" s="41">
        <v>9.9958059555431475</v>
      </c>
      <c r="H60" s="39" t="s">
        <v>31</v>
      </c>
      <c r="I60" s="39" t="s">
        <v>126</v>
      </c>
      <c r="J60" s="41">
        <v>73.075000000000003</v>
      </c>
      <c r="K60" s="41">
        <v>69.400499999999994</v>
      </c>
      <c r="L60" s="41">
        <v>1.419621307120239</v>
      </c>
      <c r="M60" s="41">
        <v>7.8546949965730084</v>
      </c>
      <c r="N60" s="32"/>
    </row>
    <row r="61" spans="1:14" x14ac:dyDescent="0.45">
      <c r="A61" s="50">
        <v>46239</v>
      </c>
      <c r="B61" s="44" t="s">
        <v>112</v>
      </c>
      <c r="C61" s="43">
        <v>600801</v>
      </c>
      <c r="D61" s="44" t="s">
        <v>81</v>
      </c>
      <c r="E61" s="45">
        <v>73</v>
      </c>
      <c r="F61" s="46">
        <v>21.93</v>
      </c>
      <c r="G61" s="46">
        <v>2.190121155638391</v>
      </c>
      <c r="H61" s="44" t="s">
        <v>27</v>
      </c>
      <c r="I61" s="44" t="s">
        <v>127</v>
      </c>
      <c r="J61" s="46">
        <v>21.696999999999999</v>
      </c>
      <c r="K61" s="46">
        <v>20.477</v>
      </c>
      <c r="L61" s="46">
        <v>0.69739342298116669</v>
      </c>
      <c r="M61" s="46">
        <v>5.5849783341357817</v>
      </c>
      <c r="N61" s="32"/>
    </row>
    <row r="62" spans="1:14" x14ac:dyDescent="0.45">
      <c r="A62" s="49">
        <v>46239</v>
      </c>
      <c r="B62" s="39" t="s">
        <v>112</v>
      </c>
      <c r="C62" s="39" t="s">
        <v>83</v>
      </c>
      <c r="D62" s="39" t="s">
        <v>84</v>
      </c>
      <c r="E62" s="40">
        <v>72.400000000000006</v>
      </c>
      <c r="F62" s="41">
        <v>41.92</v>
      </c>
      <c r="G62" s="41">
        <v>5.0363317464294788</v>
      </c>
      <c r="H62" s="39" t="s">
        <v>26</v>
      </c>
      <c r="I62" s="39" t="s">
        <v>47</v>
      </c>
      <c r="J62" s="41">
        <v>39.978000000000002</v>
      </c>
      <c r="K62" s="41">
        <v>42.451999999999998</v>
      </c>
      <c r="L62" s="41">
        <v>0.99556525118303341</v>
      </c>
      <c r="M62" s="41">
        <v>8.3764219234746751</v>
      </c>
      <c r="N62" s="32"/>
    </row>
    <row r="63" spans="1:14" x14ac:dyDescent="0.45">
      <c r="A63" s="50">
        <v>46239</v>
      </c>
      <c r="B63" s="44" t="s">
        <v>112</v>
      </c>
      <c r="C63" s="43">
        <v>603317</v>
      </c>
      <c r="D63" s="44" t="s">
        <v>86</v>
      </c>
      <c r="E63" s="45">
        <v>71.5</v>
      </c>
      <c r="F63" s="46">
        <v>14.83</v>
      </c>
      <c r="G63" s="46">
        <v>-0.66979236436703893</v>
      </c>
      <c r="H63" s="44" t="s">
        <v>28</v>
      </c>
      <c r="I63" s="44" t="s">
        <v>128</v>
      </c>
      <c r="J63" s="46">
        <v>14.446</v>
      </c>
      <c r="K63" s="46">
        <v>14.034000000000001</v>
      </c>
      <c r="L63" s="46">
        <v>0.62755366091493769</v>
      </c>
      <c r="M63" s="46">
        <v>7.9330422125182043</v>
      </c>
      <c r="N63" s="32"/>
    </row>
    <row r="64" spans="1:14" x14ac:dyDescent="0.45">
      <c r="A64" s="49">
        <v>46239</v>
      </c>
      <c r="B64" s="39" t="s">
        <v>112</v>
      </c>
      <c r="C64" s="48">
        <v>300540</v>
      </c>
      <c r="D64" s="39" t="s">
        <v>85</v>
      </c>
      <c r="E64" s="40">
        <v>71.5</v>
      </c>
      <c r="F64" s="41">
        <v>28.01</v>
      </c>
      <c r="G64" s="41">
        <v>6.7047619047619023</v>
      </c>
      <c r="H64" s="39" t="s">
        <v>26</v>
      </c>
      <c r="I64" s="39" t="s">
        <v>47</v>
      </c>
      <c r="J64" s="41">
        <v>27.704999999999998</v>
      </c>
      <c r="K64" s="41">
        <v>32.344000000000001</v>
      </c>
      <c r="L64" s="41">
        <v>1.166098607691137</v>
      </c>
      <c r="M64" s="41">
        <v>-7.3130377233620036</v>
      </c>
      <c r="N64" s="32"/>
    </row>
    <row r="65" spans="1:14" x14ac:dyDescent="0.45">
      <c r="A65" s="50">
        <v>46239</v>
      </c>
      <c r="B65" s="44" t="s">
        <v>112</v>
      </c>
      <c r="C65" s="44" t="s">
        <v>88</v>
      </c>
      <c r="D65" s="44" t="s">
        <v>89</v>
      </c>
      <c r="E65" s="45">
        <v>70.599999999999994</v>
      </c>
      <c r="F65" s="46">
        <v>9.09</v>
      </c>
      <c r="G65" s="46">
        <v>-1.6233766233766269</v>
      </c>
      <c r="H65" s="44" t="s">
        <v>27</v>
      </c>
      <c r="I65" s="44" t="s">
        <v>120</v>
      </c>
      <c r="J65" s="46">
        <v>9.0579999999999998</v>
      </c>
      <c r="K65" s="46">
        <v>9.0515000000000008</v>
      </c>
      <c r="L65" s="46">
        <v>0.97039379809190596</v>
      </c>
      <c r="M65" s="46">
        <v>0.1101321585903037</v>
      </c>
      <c r="N65" s="32"/>
    </row>
    <row r="66" spans="1:14" x14ac:dyDescent="0.45">
      <c r="A66" s="49">
        <v>46239</v>
      </c>
      <c r="B66" s="39" t="s">
        <v>112</v>
      </c>
      <c r="C66" s="48">
        <v>300031</v>
      </c>
      <c r="D66" s="39" t="s">
        <v>90</v>
      </c>
      <c r="E66" s="40">
        <v>68.5</v>
      </c>
      <c r="F66" s="41">
        <v>21.92</v>
      </c>
      <c r="G66" s="41">
        <v>3.0559473436765572</v>
      </c>
      <c r="H66" s="39" t="s">
        <v>25</v>
      </c>
      <c r="I66" s="39" t="s">
        <v>45</v>
      </c>
      <c r="J66" s="41">
        <v>19.335999999999999</v>
      </c>
      <c r="K66" s="41">
        <v>19.809000000000001</v>
      </c>
      <c r="L66" s="41">
        <v>1.4545259259455929</v>
      </c>
      <c r="M66" s="41">
        <v>19.06572514937535</v>
      </c>
      <c r="N66" s="32"/>
    </row>
    <row r="67" spans="1:14" x14ac:dyDescent="0.45">
      <c r="A67" s="50">
        <v>46239</v>
      </c>
      <c r="B67" s="44" t="s">
        <v>112</v>
      </c>
      <c r="C67" s="44" t="s">
        <v>91</v>
      </c>
      <c r="D67" s="44" t="s">
        <v>92</v>
      </c>
      <c r="E67" s="45">
        <v>68</v>
      </c>
      <c r="F67" s="46">
        <v>77.010000000000005</v>
      </c>
      <c r="G67" s="46">
        <v>7.0029178824510208</v>
      </c>
      <c r="H67" s="44" t="s">
        <v>26</v>
      </c>
      <c r="I67" s="44" t="s">
        <v>47</v>
      </c>
      <c r="J67" s="46">
        <v>71.099000000000004</v>
      </c>
      <c r="K67" s="46">
        <v>78.618499999999997</v>
      </c>
      <c r="L67" s="46">
        <v>1.633515762845474</v>
      </c>
      <c r="M67" s="46">
        <v>0.48277661795408378</v>
      </c>
      <c r="N67" s="32"/>
    </row>
    <row r="68" spans="1:14" x14ac:dyDescent="0.45">
      <c r="A68" s="49">
        <v>46239</v>
      </c>
      <c r="B68" s="39" t="s">
        <v>112</v>
      </c>
      <c r="C68" s="48">
        <v>600520</v>
      </c>
      <c r="D68" s="39" t="s">
        <v>93</v>
      </c>
      <c r="E68" s="40">
        <v>67.599999999999994</v>
      </c>
      <c r="F68" s="41">
        <v>23.33</v>
      </c>
      <c r="G68" s="41">
        <v>4.6657694033198638</v>
      </c>
      <c r="H68" s="39" t="s">
        <v>26</v>
      </c>
      <c r="I68" s="39" t="s">
        <v>47</v>
      </c>
      <c r="J68" s="41">
        <v>22.507999999999999</v>
      </c>
      <c r="K68" s="41">
        <v>25.9605</v>
      </c>
      <c r="L68" s="41">
        <v>0.791982777652942</v>
      </c>
      <c r="M68" s="41">
        <v>-3.595041322314052</v>
      </c>
      <c r="N68" s="32"/>
    </row>
    <row r="69" spans="1:14" x14ac:dyDescent="0.45">
      <c r="A69" s="50">
        <v>46239</v>
      </c>
      <c r="B69" s="44" t="s">
        <v>112</v>
      </c>
      <c r="C69" s="43">
        <v>300191</v>
      </c>
      <c r="D69" s="44" t="s">
        <v>94</v>
      </c>
      <c r="E69" s="45">
        <v>67.400000000000006</v>
      </c>
      <c r="F69" s="46">
        <v>30.3</v>
      </c>
      <c r="G69" s="46">
        <v>2.816423481506614</v>
      </c>
      <c r="H69" s="44" t="s">
        <v>25</v>
      </c>
      <c r="I69" s="44" t="s">
        <v>45</v>
      </c>
      <c r="J69" s="46">
        <v>29.356000000000002</v>
      </c>
      <c r="K69" s="46">
        <v>28.331499999999998</v>
      </c>
      <c r="L69" s="46">
        <v>0.82591096113365259</v>
      </c>
      <c r="M69" s="46">
        <v>6.4652143359100522</v>
      </c>
      <c r="N69" s="32"/>
    </row>
    <row r="70" spans="1:14" x14ac:dyDescent="0.45">
      <c r="A70" s="49">
        <v>46239</v>
      </c>
      <c r="B70" s="39" t="s">
        <v>112</v>
      </c>
      <c r="C70" s="39" t="s">
        <v>96</v>
      </c>
      <c r="D70" s="39" t="s">
        <v>97</v>
      </c>
      <c r="E70" s="40">
        <v>64.400000000000006</v>
      </c>
      <c r="F70" s="41">
        <v>5.08</v>
      </c>
      <c r="G70" s="41">
        <v>-0.78125</v>
      </c>
      <c r="H70" s="39" t="s">
        <v>25</v>
      </c>
      <c r="I70" s="39" t="s">
        <v>45</v>
      </c>
      <c r="J70" s="41">
        <v>4.8190000000000008</v>
      </c>
      <c r="K70" s="41">
        <v>4.7415000000000003</v>
      </c>
      <c r="L70" s="41">
        <v>2.0803806486103431</v>
      </c>
      <c r="M70" s="41">
        <v>2.8340080971659849</v>
      </c>
      <c r="N70" s="32"/>
    </row>
    <row r="71" spans="1:14" ht="27.75" x14ac:dyDescent="0.45">
      <c r="A71" s="50">
        <v>46239</v>
      </c>
      <c r="B71" s="44" t="s">
        <v>112</v>
      </c>
      <c r="C71" s="44" t="s">
        <v>99</v>
      </c>
      <c r="D71" s="44" t="s">
        <v>100</v>
      </c>
      <c r="E71" s="45">
        <v>52</v>
      </c>
      <c r="F71" s="46">
        <v>11.73</v>
      </c>
      <c r="G71" s="46">
        <v>10.0375234521576</v>
      </c>
      <c r="H71" s="44" t="s">
        <v>31</v>
      </c>
      <c r="I71" s="44" t="s">
        <v>129</v>
      </c>
      <c r="J71" s="46">
        <v>7.988999999999999</v>
      </c>
      <c r="K71" s="46">
        <v>6.6599999999999993</v>
      </c>
      <c r="L71" s="46">
        <v>2.3287499361208508</v>
      </c>
      <c r="M71" s="46">
        <v>119.6629213483146</v>
      </c>
      <c r="N71" s="32"/>
    </row>
    <row r="72" spans="1:14" x14ac:dyDescent="0.45">
      <c r="A72" s="49">
        <v>46239</v>
      </c>
      <c r="B72" s="39" t="s">
        <v>112</v>
      </c>
      <c r="C72" s="48">
        <v>300497</v>
      </c>
      <c r="D72" s="39" t="s">
        <v>102</v>
      </c>
      <c r="E72" s="40">
        <v>47.5</v>
      </c>
      <c r="F72" s="41">
        <v>17.55</v>
      </c>
      <c r="G72" s="41">
        <v>6.3636363636363713</v>
      </c>
      <c r="H72" s="39" t="s">
        <v>25</v>
      </c>
      <c r="I72" s="39" t="s">
        <v>45</v>
      </c>
      <c r="J72" s="41">
        <v>16.986000000000001</v>
      </c>
      <c r="K72" s="41">
        <v>17.260999999999999</v>
      </c>
      <c r="L72" s="41">
        <v>1.0486866246784019</v>
      </c>
      <c r="M72" s="41">
        <v>7.8672403196066387</v>
      </c>
      <c r="N72" s="32"/>
    </row>
    <row r="73" spans="1:14" x14ac:dyDescent="0.45">
      <c r="A73" s="50">
        <v>46239</v>
      </c>
      <c r="B73" s="44" t="s">
        <v>112</v>
      </c>
      <c r="C73" s="44" t="s">
        <v>103</v>
      </c>
      <c r="D73" s="44" t="s">
        <v>104</v>
      </c>
      <c r="E73" s="45">
        <v>44.5</v>
      </c>
      <c r="F73" s="46">
        <v>7.18</v>
      </c>
      <c r="G73" s="46">
        <v>-0.55401662049862077</v>
      </c>
      <c r="H73" s="44" t="s">
        <v>25</v>
      </c>
      <c r="I73" s="44" t="s">
        <v>45</v>
      </c>
      <c r="J73" s="46">
        <v>6.8819999999999997</v>
      </c>
      <c r="K73" s="46">
        <v>6.3544999999999998</v>
      </c>
      <c r="L73" s="46">
        <v>0.88200774422851047</v>
      </c>
      <c r="M73" s="46">
        <v>3.0129124820659881</v>
      </c>
      <c r="N73" s="32"/>
    </row>
    <row r="74" spans="1:14" x14ac:dyDescent="0.45">
      <c r="A74" s="49">
        <v>46239</v>
      </c>
      <c r="B74" s="39" t="s">
        <v>130</v>
      </c>
      <c r="C74" s="39" t="s">
        <v>131</v>
      </c>
      <c r="D74" s="39" t="s">
        <v>132</v>
      </c>
      <c r="E74" s="51"/>
      <c r="F74" s="52"/>
      <c r="G74" s="41">
        <v>6.9689855430618897</v>
      </c>
      <c r="H74" s="39" t="s">
        <v>31</v>
      </c>
      <c r="I74" s="39" t="s">
        <v>133</v>
      </c>
      <c r="J74" s="52"/>
      <c r="K74" s="52"/>
      <c r="L74" s="41">
        <v>1.9449382195802349</v>
      </c>
      <c r="M74" s="41">
        <v>13.07471264367814</v>
      </c>
      <c r="N74" s="32"/>
    </row>
    <row r="75" spans="1:14" x14ac:dyDescent="0.45">
      <c r="A75" s="50">
        <v>46239</v>
      </c>
      <c r="B75" s="44" t="s">
        <v>130</v>
      </c>
      <c r="C75" s="44" t="s">
        <v>134</v>
      </c>
      <c r="D75" s="44" t="s">
        <v>135</v>
      </c>
      <c r="E75" s="51"/>
      <c r="F75" s="52"/>
      <c r="G75" s="46">
        <v>9.0745192307692299</v>
      </c>
      <c r="H75" s="44" t="s">
        <v>31</v>
      </c>
      <c r="I75" s="44" t="s">
        <v>133</v>
      </c>
      <c r="J75" s="52"/>
      <c r="K75" s="52"/>
      <c r="L75" s="46">
        <v>1.541178685004096</v>
      </c>
      <c r="M75" s="46">
        <v>14.402773400567281</v>
      </c>
      <c r="N75" s="32"/>
    </row>
    <row r="76" spans="1:14" x14ac:dyDescent="0.45">
      <c r="A76" s="49">
        <v>46239</v>
      </c>
      <c r="B76" s="39" t="s">
        <v>130</v>
      </c>
      <c r="C76" s="39" t="s">
        <v>136</v>
      </c>
      <c r="D76" s="39" t="s">
        <v>137</v>
      </c>
      <c r="E76" s="51"/>
      <c r="F76" s="52"/>
      <c r="G76" s="41">
        <v>10.067114093959731</v>
      </c>
      <c r="H76" s="39" t="s">
        <v>30</v>
      </c>
      <c r="I76" s="39" t="s">
        <v>133</v>
      </c>
      <c r="J76" s="52"/>
      <c r="K76" s="52"/>
      <c r="L76" s="41">
        <v>0.9171389305134332</v>
      </c>
      <c r="M76" s="41">
        <v>32.868525896414347</v>
      </c>
      <c r="N76" s="32"/>
    </row>
    <row r="77" spans="1:14" x14ac:dyDescent="0.45">
      <c r="A77" s="50">
        <v>46239</v>
      </c>
      <c r="B77" s="44" t="s">
        <v>130</v>
      </c>
      <c r="C77" s="44" t="s">
        <v>138</v>
      </c>
      <c r="D77" s="44" t="s">
        <v>139</v>
      </c>
      <c r="E77" s="51"/>
      <c r="F77" s="52"/>
      <c r="G77" s="46">
        <v>9.9999999999999858</v>
      </c>
      <c r="H77" s="44" t="s">
        <v>31</v>
      </c>
      <c r="I77" s="44" t="s">
        <v>133</v>
      </c>
      <c r="J77" s="52"/>
      <c r="K77" s="52"/>
      <c r="L77" s="46">
        <v>0.93173789801687579</v>
      </c>
      <c r="M77" s="46">
        <v>29.153743907842269</v>
      </c>
      <c r="N77" s="32"/>
    </row>
    <row r="78" spans="1:14" x14ac:dyDescent="0.45">
      <c r="A78" s="49">
        <v>46239</v>
      </c>
      <c r="B78" s="39" t="s">
        <v>130</v>
      </c>
      <c r="C78" s="39" t="s">
        <v>140</v>
      </c>
      <c r="D78" s="39" t="s">
        <v>141</v>
      </c>
      <c r="E78" s="51"/>
      <c r="F78" s="52"/>
      <c r="G78" s="41">
        <v>5.2050473186119994</v>
      </c>
      <c r="H78" s="39" t="s">
        <v>31</v>
      </c>
      <c r="I78" s="39" t="s">
        <v>133</v>
      </c>
      <c r="J78" s="52"/>
      <c r="K78" s="52"/>
      <c r="L78" s="41">
        <v>1.9299528209248149</v>
      </c>
      <c r="M78" s="41">
        <v>9.3442622950819612</v>
      </c>
      <c r="N78" s="32"/>
    </row>
    <row r="79" spans="1:14" x14ac:dyDescent="0.45">
      <c r="A79" s="50">
        <v>46239</v>
      </c>
      <c r="B79" s="44" t="s">
        <v>130</v>
      </c>
      <c r="C79" s="44" t="s">
        <v>142</v>
      </c>
      <c r="D79" s="44" t="s">
        <v>143</v>
      </c>
      <c r="E79" s="51"/>
      <c r="F79" s="52"/>
      <c r="G79" s="46">
        <v>10.000000000000011</v>
      </c>
      <c r="H79" s="44" t="s">
        <v>30</v>
      </c>
      <c r="I79" s="44" t="s">
        <v>133</v>
      </c>
      <c r="J79" s="52"/>
      <c r="K79" s="52"/>
      <c r="L79" s="46">
        <v>2.632566238313756</v>
      </c>
      <c r="M79" s="46">
        <v>19.81747066492829</v>
      </c>
      <c r="N79" s="32"/>
    </row>
    <row r="80" spans="1:14" x14ac:dyDescent="0.45">
      <c r="A80" s="49">
        <v>46239</v>
      </c>
      <c r="B80" s="39" t="s">
        <v>130</v>
      </c>
      <c r="C80" s="39" t="s">
        <v>144</v>
      </c>
      <c r="D80" s="39" t="s">
        <v>145</v>
      </c>
      <c r="E80" s="51"/>
      <c r="F80" s="52"/>
      <c r="G80" s="41">
        <v>9.977578475336335</v>
      </c>
      <c r="H80" s="39" t="s">
        <v>31</v>
      </c>
      <c r="I80" s="39" t="s">
        <v>133</v>
      </c>
      <c r="J80" s="52"/>
      <c r="K80" s="52"/>
      <c r="L80" s="41">
        <v>1.962910593913354</v>
      </c>
      <c r="M80" s="41">
        <v>17.344497607655509</v>
      </c>
      <c r="N80" s="32"/>
    </row>
    <row r="81" spans="1:14" x14ac:dyDescent="0.45">
      <c r="A81" s="50">
        <v>46239</v>
      </c>
      <c r="B81" s="44" t="s">
        <v>130</v>
      </c>
      <c r="C81" s="44" t="s">
        <v>146</v>
      </c>
      <c r="D81" s="44" t="s">
        <v>147</v>
      </c>
      <c r="E81" s="51"/>
      <c r="F81" s="52"/>
      <c r="G81" s="46">
        <v>9.9950273495773345</v>
      </c>
      <c r="H81" s="44" t="s">
        <v>30</v>
      </c>
      <c r="I81" s="44" t="s">
        <v>133</v>
      </c>
      <c r="J81" s="52"/>
      <c r="K81" s="52"/>
      <c r="L81" s="46">
        <v>1.025234290829667</v>
      </c>
      <c r="M81" s="46">
        <v>4.9904030710172798</v>
      </c>
      <c r="N81" s="32"/>
    </row>
    <row r="82" spans="1:14" x14ac:dyDescent="0.45">
      <c r="A82" s="49">
        <v>46239</v>
      </c>
      <c r="B82" s="39" t="s">
        <v>130</v>
      </c>
      <c r="C82" s="39" t="s">
        <v>148</v>
      </c>
      <c r="D82" s="39" t="s">
        <v>149</v>
      </c>
      <c r="E82" s="51"/>
      <c r="F82" s="52"/>
      <c r="G82" s="41">
        <v>10.07751937984496</v>
      </c>
      <c r="H82" s="39" t="s">
        <v>30</v>
      </c>
      <c r="I82" s="39" t="s">
        <v>133</v>
      </c>
      <c r="J82" s="52"/>
      <c r="K82" s="52"/>
      <c r="L82" s="41">
        <v>4.488553445835338</v>
      </c>
      <c r="M82" s="41">
        <v>71.666666666666686</v>
      </c>
      <c r="N82" s="32"/>
    </row>
    <row r="83" spans="1:14" x14ac:dyDescent="0.45">
      <c r="A83" s="50">
        <v>46239</v>
      </c>
      <c r="B83" s="44" t="s">
        <v>130</v>
      </c>
      <c r="C83" s="44" t="s">
        <v>150</v>
      </c>
      <c r="D83" s="44" t="s">
        <v>151</v>
      </c>
      <c r="E83" s="51"/>
      <c r="F83" s="52"/>
      <c r="G83" s="46">
        <v>10.069444444444439</v>
      </c>
      <c r="H83" s="44" t="s">
        <v>31</v>
      </c>
      <c r="I83" s="44" t="s">
        <v>133</v>
      </c>
      <c r="J83" s="52"/>
      <c r="K83" s="52"/>
      <c r="L83" s="46">
        <v>1.7083936011899099</v>
      </c>
      <c r="M83" s="46">
        <v>27.822580645161299</v>
      </c>
      <c r="N83" s="32"/>
    </row>
    <row r="84" spans="1:14" x14ac:dyDescent="0.45">
      <c r="A84" s="49">
        <v>46239</v>
      </c>
      <c r="B84" s="39" t="s">
        <v>130</v>
      </c>
      <c r="C84" s="39" t="s">
        <v>152</v>
      </c>
      <c r="D84" s="39" t="s">
        <v>153</v>
      </c>
      <c r="E84" s="51"/>
      <c r="F84" s="52"/>
      <c r="G84" s="41">
        <v>9.9898322318251012</v>
      </c>
      <c r="H84" s="39" t="s">
        <v>31</v>
      </c>
      <c r="I84" s="39" t="s">
        <v>133</v>
      </c>
      <c r="J84" s="52"/>
      <c r="K84" s="52"/>
      <c r="L84" s="41">
        <v>1.212512674237449</v>
      </c>
      <c r="M84" s="41">
        <v>18.224043715846999</v>
      </c>
      <c r="N84" s="32"/>
    </row>
    <row r="85" spans="1:14" x14ac:dyDescent="0.45">
      <c r="A85" s="50">
        <v>46239</v>
      </c>
      <c r="B85" s="44" t="s">
        <v>130</v>
      </c>
      <c r="C85" s="44" t="s">
        <v>154</v>
      </c>
      <c r="D85" s="44" t="s">
        <v>155</v>
      </c>
      <c r="E85" s="51"/>
      <c r="F85" s="52"/>
      <c r="G85" s="46">
        <v>5.8479532163742576</v>
      </c>
      <c r="H85" s="44" t="s">
        <v>30</v>
      </c>
      <c r="I85" s="44" t="s">
        <v>133</v>
      </c>
      <c r="J85" s="52"/>
      <c r="K85" s="52"/>
      <c r="L85" s="46">
        <v>2.0171283692460209</v>
      </c>
      <c r="M85" s="46">
        <v>45.38461538461538</v>
      </c>
      <c r="N85" s="32"/>
    </row>
    <row r="86" spans="1:14" x14ac:dyDescent="0.45">
      <c r="A86" s="49">
        <v>46239</v>
      </c>
      <c r="B86" s="39" t="s">
        <v>130</v>
      </c>
      <c r="C86" s="39" t="s">
        <v>156</v>
      </c>
      <c r="D86" s="39" t="s">
        <v>157</v>
      </c>
      <c r="E86" s="51"/>
      <c r="F86" s="52"/>
      <c r="G86" s="41">
        <v>9.1814159292035402</v>
      </c>
      <c r="H86" s="39" t="s">
        <v>31</v>
      </c>
      <c r="I86" s="39" t="s">
        <v>133</v>
      </c>
      <c r="J86" s="52"/>
      <c r="K86" s="52"/>
      <c r="L86" s="41">
        <v>2.5566789622143551</v>
      </c>
      <c r="M86" s="41">
        <v>26.863753213367598</v>
      </c>
      <c r="N86" s="32"/>
    </row>
    <row r="87" spans="1:14" x14ac:dyDescent="0.45">
      <c r="A87" s="50">
        <v>46239</v>
      </c>
      <c r="B87" s="44" t="s">
        <v>130</v>
      </c>
      <c r="C87" s="44" t="s">
        <v>158</v>
      </c>
      <c r="D87" s="44" t="s">
        <v>159</v>
      </c>
      <c r="E87" s="51"/>
      <c r="F87" s="52"/>
      <c r="G87" s="46">
        <v>9.9236641221373887</v>
      </c>
      <c r="H87" s="44" t="s">
        <v>30</v>
      </c>
      <c r="I87" s="44" t="s">
        <v>133</v>
      </c>
      <c r="J87" s="52"/>
      <c r="K87" s="52"/>
      <c r="L87" s="46">
        <v>2.1030558074248442</v>
      </c>
      <c r="M87" s="46">
        <v>23.43096234309623</v>
      </c>
      <c r="N87" s="32"/>
    </row>
    <row r="88" spans="1:14" x14ac:dyDescent="0.45">
      <c r="A88" s="49">
        <v>46239</v>
      </c>
      <c r="B88" s="39" t="s">
        <v>130</v>
      </c>
      <c r="C88" s="39" t="s">
        <v>160</v>
      </c>
      <c r="D88" s="39" t="s">
        <v>161</v>
      </c>
      <c r="E88" s="51"/>
      <c r="F88" s="52"/>
      <c r="G88" s="41">
        <v>6.5173116089613181</v>
      </c>
      <c r="H88" s="39" t="s">
        <v>31</v>
      </c>
      <c r="I88" s="39" t="s">
        <v>133</v>
      </c>
      <c r="J88" s="52"/>
      <c r="K88" s="52"/>
      <c r="L88" s="41">
        <v>1.576214349345082</v>
      </c>
      <c r="M88" s="41">
        <v>27.872860635696831</v>
      </c>
      <c r="N88" s="32"/>
    </row>
    <row r="89" spans="1:14" x14ac:dyDescent="0.45">
      <c r="A89" s="50">
        <v>46239</v>
      </c>
      <c r="B89" s="44" t="s">
        <v>130</v>
      </c>
      <c r="C89" s="44" t="s">
        <v>162</v>
      </c>
      <c r="D89" s="44" t="s">
        <v>163</v>
      </c>
      <c r="E89" s="51"/>
      <c r="F89" s="52"/>
      <c r="G89" s="46">
        <v>10.02227171492205</v>
      </c>
      <c r="H89" s="44" t="s">
        <v>31</v>
      </c>
      <c r="I89" s="44" t="s">
        <v>133</v>
      </c>
      <c r="J89" s="52"/>
      <c r="K89" s="52"/>
      <c r="L89" s="46">
        <v>1.062421254126382</v>
      </c>
      <c r="M89" s="46">
        <v>21.674876847290658</v>
      </c>
      <c r="N89" s="32"/>
    </row>
    <row r="90" spans="1:14" x14ac:dyDescent="0.45">
      <c r="A90" s="49">
        <v>46239</v>
      </c>
      <c r="B90" s="39" t="s">
        <v>130</v>
      </c>
      <c r="C90" s="39" t="s">
        <v>164</v>
      </c>
      <c r="D90" s="39" t="s">
        <v>165</v>
      </c>
      <c r="E90" s="51"/>
      <c r="F90" s="52"/>
      <c r="G90" s="41">
        <v>10.158730158730171</v>
      </c>
      <c r="H90" s="39" t="s">
        <v>31</v>
      </c>
      <c r="I90" s="39" t="s">
        <v>133</v>
      </c>
      <c r="J90" s="52"/>
      <c r="K90" s="52"/>
      <c r="L90" s="41">
        <v>0.28530187138259872</v>
      </c>
      <c r="M90" s="41">
        <v>39.357429718875501</v>
      </c>
      <c r="N90" s="32"/>
    </row>
    <row r="91" spans="1:14" x14ac:dyDescent="0.45">
      <c r="A91" s="50">
        <v>46239</v>
      </c>
      <c r="B91" s="44" t="s">
        <v>130</v>
      </c>
      <c r="C91" s="44" t="s">
        <v>166</v>
      </c>
      <c r="D91" s="44" t="s">
        <v>167</v>
      </c>
      <c r="E91" s="51"/>
      <c r="F91" s="52"/>
      <c r="G91" s="46">
        <v>5.3497942386831143</v>
      </c>
      <c r="H91" s="44" t="s">
        <v>31</v>
      </c>
      <c r="I91" s="44" t="s">
        <v>133</v>
      </c>
      <c r="J91" s="52"/>
      <c r="K91" s="52"/>
      <c r="L91" s="46">
        <v>3.5179977077246321</v>
      </c>
      <c r="M91" s="46">
        <v>16.894977168949769</v>
      </c>
      <c r="N91" s="32"/>
    </row>
    <row r="92" spans="1:14" x14ac:dyDescent="0.45">
      <c r="A92" s="49">
        <v>46239</v>
      </c>
      <c r="B92" s="39" t="s">
        <v>130</v>
      </c>
      <c r="C92" s="39" t="s">
        <v>168</v>
      </c>
      <c r="D92" s="39" t="s">
        <v>169</v>
      </c>
      <c r="E92" s="51"/>
      <c r="F92" s="52"/>
      <c r="G92" s="41">
        <v>9.8130841121495394</v>
      </c>
      <c r="H92" s="39" t="s">
        <v>31</v>
      </c>
      <c r="I92" s="39" t="s">
        <v>133</v>
      </c>
      <c r="J92" s="52"/>
      <c r="K92" s="52"/>
      <c r="L92" s="41">
        <v>2.1945674186842892</v>
      </c>
      <c r="M92" s="41">
        <v>33.522727272727273</v>
      </c>
      <c r="N92" s="32"/>
    </row>
    <row r="93" spans="1:14" x14ac:dyDescent="0.45">
      <c r="A93" s="50">
        <v>46239</v>
      </c>
      <c r="B93" s="44" t="s">
        <v>130</v>
      </c>
      <c r="C93" s="44" t="s">
        <v>170</v>
      </c>
      <c r="D93" s="44" t="s">
        <v>171</v>
      </c>
      <c r="E93" s="51"/>
      <c r="F93" s="52"/>
      <c r="G93" s="46">
        <v>9.9678456591639772</v>
      </c>
      <c r="H93" s="44" t="s">
        <v>31</v>
      </c>
      <c r="I93" s="44" t="s">
        <v>133</v>
      </c>
      <c r="J93" s="52"/>
      <c r="K93" s="52"/>
      <c r="L93" s="46">
        <v>1.8916097004249259</v>
      </c>
      <c r="M93" s="46">
        <v>17.795637198622249</v>
      </c>
      <c r="N93" s="32"/>
    </row>
    <row r="94" spans="1:14" x14ac:dyDescent="0.45">
      <c r="A94" s="49">
        <v>46239</v>
      </c>
      <c r="B94" s="39" t="s">
        <v>130</v>
      </c>
      <c r="C94" s="39" t="s">
        <v>172</v>
      </c>
      <c r="D94" s="39" t="s">
        <v>173</v>
      </c>
      <c r="E94" s="51"/>
      <c r="F94" s="52"/>
      <c r="G94" s="41">
        <v>9.9783080260303691</v>
      </c>
      <c r="H94" s="39" t="s">
        <v>30</v>
      </c>
      <c r="I94" s="39" t="s">
        <v>133</v>
      </c>
      <c r="J94" s="52"/>
      <c r="K94" s="52"/>
      <c r="L94" s="41">
        <v>2.0922046435307391</v>
      </c>
      <c r="M94" s="41">
        <v>31.578947368421058</v>
      </c>
      <c r="N94" s="32"/>
    </row>
    <row r="95" spans="1:14" x14ac:dyDescent="0.45">
      <c r="A95" s="50">
        <v>46239</v>
      </c>
      <c r="B95" s="44" t="s">
        <v>130</v>
      </c>
      <c r="C95" s="44" t="s">
        <v>174</v>
      </c>
      <c r="D95" s="44" t="s">
        <v>175</v>
      </c>
      <c r="E95" s="51"/>
      <c r="F95" s="52"/>
      <c r="G95" s="46">
        <v>10.000000000000011</v>
      </c>
      <c r="H95" s="44" t="s">
        <v>31</v>
      </c>
      <c r="I95" s="44" t="s">
        <v>133</v>
      </c>
      <c r="J95" s="52"/>
      <c r="K95" s="52"/>
      <c r="L95" s="46">
        <v>0.22861671709186321</v>
      </c>
      <c r="M95" s="46">
        <v>37.732656514382398</v>
      </c>
      <c r="N95" s="32"/>
    </row>
    <row r="96" spans="1:14" x14ac:dyDescent="0.45">
      <c r="A96" s="49">
        <v>46239</v>
      </c>
      <c r="B96" s="39" t="s">
        <v>130</v>
      </c>
      <c r="C96" s="39" t="s">
        <v>176</v>
      </c>
      <c r="D96" s="39" t="s">
        <v>177</v>
      </c>
      <c r="E96" s="51"/>
      <c r="F96" s="52"/>
      <c r="G96" s="41">
        <v>9.8765432098765427</v>
      </c>
      <c r="H96" s="39" t="s">
        <v>31</v>
      </c>
      <c r="I96" s="39" t="s">
        <v>133</v>
      </c>
      <c r="J96" s="52"/>
      <c r="K96" s="52"/>
      <c r="L96" s="41">
        <v>1.215097051164542</v>
      </c>
      <c r="M96" s="41">
        <v>18.66666666666665</v>
      </c>
      <c r="N96" s="32"/>
    </row>
    <row r="97" spans="1:14" x14ac:dyDescent="0.45">
      <c r="A97" s="50">
        <v>46239</v>
      </c>
      <c r="B97" s="44" t="s">
        <v>130</v>
      </c>
      <c r="C97" s="44" t="s">
        <v>178</v>
      </c>
      <c r="D97" s="44" t="s">
        <v>179</v>
      </c>
      <c r="E97" s="51"/>
      <c r="F97" s="52"/>
      <c r="G97" s="46">
        <v>10.02506265664158</v>
      </c>
      <c r="H97" s="44" t="s">
        <v>31</v>
      </c>
      <c r="I97" s="44" t="s">
        <v>133</v>
      </c>
      <c r="J97" s="52"/>
      <c r="K97" s="52"/>
      <c r="L97" s="46">
        <v>0.34087168954794</v>
      </c>
      <c r="M97" s="46">
        <v>25.42857142857142</v>
      </c>
      <c r="N97" s="32"/>
    </row>
    <row r="98" spans="1:14" x14ac:dyDescent="0.45">
      <c r="A98" s="49">
        <v>46239</v>
      </c>
      <c r="B98" s="39" t="s">
        <v>130</v>
      </c>
      <c r="C98" s="39" t="s">
        <v>180</v>
      </c>
      <c r="D98" s="39" t="s">
        <v>181</v>
      </c>
      <c r="E98" s="51"/>
      <c r="F98" s="52"/>
      <c r="G98" s="41">
        <v>6.9023166945306969</v>
      </c>
      <c r="H98" s="39" t="s">
        <v>31</v>
      </c>
      <c r="I98" s="39" t="s">
        <v>133</v>
      </c>
      <c r="J98" s="52"/>
      <c r="K98" s="52"/>
      <c r="L98" s="41">
        <v>2.4550534373456609</v>
      </c>
      <c r="M98" s="41">
        <v>87.515710096355235</v>
      </c>
      <c r="N98" s="32"/>
    </row>
    <row r="99" spans="1:14" x14ac:dyDescent="0.45">
      <c r="A99" s="50">
        <v>46239</v>
      </c>
      <c r="B99" s="44" t="s">
        <v>130</v>
      </c>
      <c r="C99" s="44" t="s">
        <v>182</v>
      </c>
      <c r="D99" s="44" t="s">
        <v>183</v>
      </c>
      <c r="E99" s="51"/>
      <c r="F99" s="52"/>
      <c r="G99" s="46">
        <v>10.0145137880987</v>
      </c>
      <c r="H99" s="44" t="s">
        <v>31</v>
      </c>
      <c r="I99" s="44" t="s">
        <v>133</v>
      </c>
      <c r="J99" s="52"/>
      <c r="K99" s="52"/>
      <c r="L99" s="46">
        <v>1.60128522634989</v>
      </c>
      <c r="M99" s="46">
        <v>20.317460317460309</v>
      </c>
      <c r="N99" s="32"/>
    </row>
    <row r="100" spans="1:14" x14ac:dyDescent="0.45">
      <c r="A100" s="49">
        <v>46239</v>
      </c>
      <c r="B100" s="39" t="s">
        <v>130</v>
      </c>
      <c r="C100" s="39" t="s">
        <v>184</v>
      </c>
      <c r="D100" s="39" t="s">
        <v>185</v>
      </c>
      <c r="E100" s="51"/>
      <c r="F100" s="52"/>
      <c r="G100" s="41">
        <v>5.5634807417974219</v>
      </c>
      <c r="H100" s="39" t="s">
        <v>31</v>
      </c>
      <c r="I100" s="39" t="s">
        <v>133</v>
      </c>
      <c r="J100" s="52"/>
      <c r="K100" s="52"/>
      <c r="L100" s="41">
        <v>4.5712401176592516</v>
      </c>
      <c r="M100" s="41">
        <v>29.74868497954413</v>
      </c>
      <c r="N100" s="32"/>
    </row>
    <row r="101" spans="1:14" x14ac:dyDescent="0.45">
      <c r="A101" s="50">
        <v>46239</v>
      </c>
      <c r="B101" s="44" t="s">
        <v>130</v>
      </c>
      <c r="C101" s="44" t="s">
        <v>186</v>
      </c>
      <c r="D101" s="44" t="s">
        <v>187</v>
      </c>
      <c r="E101" s="51"/>
      <c r="F101" s="52"/>
      <c r="G101" s="46">
        <v>7.9234972677595614</v>
      </c>
      <c r="H101" s="44" t="s">
        <v>31</v>
      </c>
      <c r="I101" s="44" t="s">
        <v>133</v>
      </c>
      <c r="J101" s="52"/>
      <c r="K101" s="52"/>
      <c r="L101" s="46">
        <v>1.6792794355302281</v>
      </c>
      <c r="M101" s="46">
        <v>14.658925979680699</v>
      </c>
      <c r="N101" s="32"/>
    </row>
    <row r="102" spans="1:14" x14ac:dyDescent="0.45">
      <c r="A102" s="49">
        <v>46239</v>
      </c>
      <c r="B102" s="39" t="s">
        <v>130</v>
      </c>
      <c r="C102" s="48">
        <v>300058</v>
      </c>
      <c r="D102" s="39" t="s">
        <v>188</v>
      </c>
      <c r="E102" s="51"/>
      <c r="F102" s="52"/>
      <c r="G102" s="41">
        <v>6.7934782608695574</v>
      </c>
      <c r="H102" s="39" t="s">
        <v>30</v>
      </c>
      <c r="I102" s="39" t="s">
        <v>133</v>
      </c>
      <c r="J102" s="52"/>
      <c r="K102" s="52"/>
      <c r="L102" s="41">
        <v>1.734710789403948</v>
      </c>
      <c r="M102" s="41">
        <v>31.302170283806351</v>
      </c>
      <c r="N102" s="32"/>
    </row>
    <row r="103" spans="1:14" x14ac:dyDescent="0.45">
      <c r="A103" s="50">
        <v>46239</v>
      </c>
      <c r="B103" s="44" t="s">
        <v>130</v>
      </c>
      <c r="C103" s="43">
        <v>300139</v>
      </c>
      <c r="D103" s="44" t="s">
        <v>189</v>
      </c>
      <c r="E103" s="51"/>
      <c r="F103" s="52"/>
      <c r="G103" s="46">
        <v>11.886886886886881</v>
      </c>
      <c r="H103" s="44" t="s">
        <v>31</v>
      </c>
      <c r="I103" s="44" t="s">
        <v>133</v>
      </c>
      <c r="J103" s="52"/>
      <c r="K103" s="52"/>
      <c r="L103" s="46">
        <v>1.727469993944744</v>
      </c>
      <c r="M103" s="46">
        <v>13.075366717248359</v>
      </c>
      <c r="N103" s="32"/>
    </row>
    <row r="104" spans="1:14" x14ac:dyDescent="0.45">
      <c r="A104" s="49">
        <v>46239</v>
      </c>
      <c r="B104" s="39" t="s">
        <v>130</v>
      </c>
      <c r="C104" s="48">
        <v>300182</v>
      </c>
      <c r="D104" s="39" t="s">
        <v>190</v>
      </c>
      <c r="E104" s="51"/>
      <c r="F104" s="52"/>
      <c r="G104" s="41">
        <v>11.937377690802339</v>
      </c>
      <c r="H104" s="39" t="s">
        <v>30</v>
      </c>
      <c r="I104" s="39" t="s">
        <v>133</v>
      </c>
      <c r="J104" s="52"/>
      <c r="K104" s="52"/>
      <c r="L104" s="41">
        <v>3.1196740109391738</v>
      </c>
      <c r="M104" s="41">
        <v>20.645161290322591</v>
      </c>
      <c r="N104" s="32"/>
    </row>
    <row r="105" spans="1:14" x14ac:dyDescent="0.45">
      <c r="A105" s="50">
        <v>46239</v>
      </c>
      <c r="B105" s="44" t="s">
        <v>130</v>
      </c>
      <c r="C105" s="43">
        <v>300188</v>
      </c>
      <c r="D105" s="44" t="s">
        <v>191</v>
      </c>
      <c r="E105" s="51"/>
      <c r="F105" s="52"/>
      <c r="G105" s="46">
        <v>6.9469835466179131</v>
      </c>
      <c r="H105" s="44" t="s">
        <v>30</v>
      </c>
      <c r="I105" s="44" t="s">
        <v>133</v>
      </c>
      <c r="J105" s="52"/>
      <c r="K105" s="52"/>
      <c r="L105" s="46">
        <v>1.9223901277658559</v>
      </c>
      <c r="M105" s="46">
        <v>18.80509304603331</v>
      </c>
      <c r="N105" s="32"/>
    </row>
    <row r="106" spans="1:14" x14ac:dyDescent="0.45">
      <c r="A106" s="49">
        <v>46239</v>
      </c>
      <c r="B106" s="39" t="s">
        <v>130</v>
      </c>
      <c r="C106" s="48">
        <v>300195</v>
      </c>
      <c r="D106" s="39" t="s">
        <v>192</v>
      </c>
      <c r="E106" s="51"/>
      <c r="F106" s="52"/>
      <c r="G106" s="41">
        <v>5.1330798479087614</v>
      </c>
      <c r="H106" s="39" t="s">
        <v>31</v>
      </c>
      <c r="I106" s="39" t="s">
        <v>133</v>
      </c>
      <c r="J106" s="52"/>
      <c r="K106" s="52"/>
      <c r="L106" s="41">
        <v>2.5575304946578892</v>
      </c>
      <c r="M106" s="41">
        <v>20.47930283224402</v>
      </c>
      <c r="N106" s="32"/>
    </row>
    <row r="107" spans="1:14" x14ac:dyDescent="0.45">
      <c r="A107" s="50">
        <v>46239</v>
      </c>
      <c r="B107" s="44" t="s">
        <v>130</v>
      </c>
      <c r="C107" s="43">
        <v>300209</v>
      </c>
      <c r="D107" s="44" t="s">
        <v>193</v>
      </c>
      <c r="E107" s="51"/>
      <c r="F107" s="52"/>
      <c r="G107" s="46">
        <v>9.89892984542211</v>
      </c>
      <c r="H107" s="44" t="s">
        <v>31</v>
      </c>
      <c r="I107" s="44" t="s">
        <v>133</v>
      </c>
      <c r="J107" s="52"/>
      <c r="K107" s="52"/>
      <c r="L107" s="46">
        <v>1.845418238276987</v>
      </c>
      <c r="M107" s="46">
        <v>28.815331010452969</v>
      </c>
      <c r="N107" s="32"/>
    </row>
    <row r="108" spans="1:14" x14ac:dyDescent="0.45">
      <c r="A108" s="49">
        <v>46239</v>
      </c>
      <c r="B108" s="39" t="s">
        <v>130</v>
      </c>
      <c r="C108" s="48">
        <v>300229</v>
      </c>
      <c r="D108" s="39" t="s">
        <v>194</v>
      </c>
      <c r="E108" s="51"/>
      <c r="F108" s="52"/>
      <c r="G108" s="41">
        <v>11.259676284306821</v>
      </c>
      <c r="H108" s="39" t="s">
        <v>30</v>
      </c>
      <c r="I108" s="39" t="s">
        <v>133</v>
      </c>
      <c r="J108" s="52"/>
      <c r="K108" s="52"/>
      <c r="L108" s="41">
        <v>2.4826517938287131</v>
      </c>
      <c r="M108" s="41">
        <v>29.096722621902462</v>
      </c>
      <c r="N108" s="32"/>
    </row>
    <row r="109" spans="1:14" x14ac:dyDescent="0.45">
      <c r="A109" s="50">
        <v>46239</v>
      </c>
      <c r="B109" s="44" t="s">
        <v>130</v>
      </c>
      <c r="C109" s="43">
        <v>300248</v>
      </c>
      <c r="D109" s="44" t="s">
        <v>195</v>
      </c>
      <c r="E109" s="51"/>
      <c r="F109" s="52"/>
      <c r="G109" s="46">
        <v>20.023837902264589</v>
      </c>
      <c r="H109" s="44" t="s">
        <v>31</v>
      </c>
      <c r="I109" s="44" t="s">
        <v>133</v>
      </c>
      <c r="J109" s="52"/>
      <c r="K109" s="52"/>
      <c r="L109" s="46">
        <v>3.141416829783775</v>
      </c>
      <c r="M109" s="46">
        <v>33.731739707835317</v>
      </c>
      <c r="N109" s="32"/>
    </row>
    <row r="110" spans="1:14" x14ac:dyDescent="0.45">
      <c r="A110" s="49">
        <v>46239</v>
      </c>
      <c r="B110" s="39" t="s">
        <v>130</v>
      </c>
      <c r="C110" s="48">
        <v>300358</v>
      </c>
      <c r="D110" s="39" t="s">
        <v>196</v>
      </c>
      <c r="E110" s="51"/>
      <c r="F110" s="52"/>
      <c r="G110" s="41">
        <v>7.3943661971830998</v>
      </c>
      <c r="H110" s="39" t="s">
        <v>30</v>
      </c>
      <c r="I110" s="39" t="s">
        <v>133</v>
      </c>
      <c r="J110" s="52"/>
      <c r="K110" s="52"/>
      <c r="L110" s="41">
        <v>2.3404714318023081</v>
      </c>
      <c r="M110" s="41">
        <v>17.847769028871401</v>
      </c>
      <c r="N110" s="32"/>
    </row>
    <row r="111" spans="1:14" x14ac:dyDescent="0.45">
      <c r="A111" s="50">
        <v>46239</v>
      </c>
      <c r="B111" s="44" t="s">
        <v>130</v>
      </c>
      <c r="C111" s="43">
        <v>300552</v>
      </c>
      <c r="D111" s="44" t="s">
        <v>197</v>
      </c>
      <c r="E111" s="51"/>
      <c r="F111" s="52"/>
      <c r="G111" s="46">
        <v>20.01929570670524</v>
      </c>
      <c r="H111" s="44" t="s">
        <v>31</v>
      </c>
      <c r="I111" s="44" t="s">
        <v>133</v>
      </c>
      <c r="J111" s="52"/>
      <c r="K111" s="52"/>
      <c r="L111" s="46">
        <v>4.4731296243748737</v>
      </c>
      <c r="M111" s="46">
        <v>35.217391304347821</v>
      </c>
      <c r="N111" s="32"/>
    </row>
    <row r="112" spans="1:14" x14ac:dyDescent="0.45">
      <c r="A112" s="49">
        <v>46239</v>
      </c>
      <c r="B112" s="39" t="s">
        <v>130</v>
      </c>
      <c r="C112" s="48">
        <v>300615</v>
      </c>
      <c r="D112" s="39" t="s">
        <v>198</v>
      </c>
      <c r="E112" s="51"/>
      <c r="F112" s="52"/>
      <c r="G112" s="41">
        <v>19.96805111821087</v>
      </c>
      <c r="H112" s="39" t="s">
        <v>31</v>
      </c>
      <c r="I112" s="39" t="s">
        <v>133</v>
      </c>
      <c r="J112" s="52"/>
      <c r="K112" s="52"/>
      <c r="L112" s="41">
        <v>1.246970675935537</v>
      </c>
      <c r="M112" s="41">
        <v>59.110169491525433</v>
      </c>
      <c r="N112" s="32"/>
    </row>
    <row r="113" spans="1:14" x14ac:dyDescent="0.45">
      <c r="A113" s="50">
        <v>46239</v>
      </c>
      <c r="B113" s="44" t="s">
        <v>130</v>
      </c>
      <c r="C113" s="43">
        <v>300647</v>
      </c>
      <c r="D113" s="44" t="s">
        <v>199</v>
      </c>
      <c r="E113" s="51"/>
      <c r="F113" s="52"/>
      <c r="G113" s="46">
        <v>5.6925996204933771</v>
      </c>
      <c r="H113" s="44" t="s">
        <v>31</v>
      </c>
      <c r="I113" s="44" t="s">
        <v>133</v>
      </c>
      <c r="J113" s="52"/>
      <c r="K113" s="52"/>
      <c r="L113" s="46">
        <v>1.9325989605438201</v>
      </c>
      <c r="M113" s="46">
        <v>18.25902335456475</v>
      </c>
      <c r="N113" s="32"/>
    </row>
    <row r="114" spans="1:14" x14ac:dyDescent="0.45">
      <c r="A114" s="49">
        <v>46239</v>
      </c>
      <c r="B114" s="39" t="s">
        <v>130</v>
      </c>
      <c r="C114" s="48">
        <v>300781</v>
      </c>
      <c r="D114" s="39" t="s">
        <v>200</v>
      </c>
      <c r="E114" s="51"/>
      <c r="F114" s="52"/>
      <c r="G114" s="41">
        <v>7.0437956204379537</v>
      </c>
      <c r="H114" s="39" t="s">
        <v>30</v>
      </c>
      <c r="I114" s="39" t="s">
        <v>133</v>
      </c>
      <c r="J114" s="52"/>
      <c r="K114" s="52"/>
      <c r="L114" s="41">
        <v>1.636388437226046</v>
      </c>
      <c r="M114" s="41">
        <v>24.451939291736949</v>
      </c>
      <c r="N114" s="32"/>
    </row>
    <row r="115" spans="1:14" x14ac:dyDescent="0.45">
      <c r="A115" s="50">
        <v>46239</v>
      </c>
      <c r="B115" s="44" t="s">
        <v>130</v>
      </c>
      <c r="C115" s="43">
        <v>300935</v>
      </c>
      <c r="D115" s="44" t="s">
        <v>201</v>
      </c>
      <c r="E115" s="51"/>
      <c r="F115" s="52"/>
      <c r="G115" s="46">
        <v>15.209404849375449</v>
      </c>
      <c r="H115" s="44" t="s">
        <v>30</v>
      </c>
      <c r="I115" s="44" t="s">
        <v>133</v>
      </c>
      <c r="J115" s="52"/>
      <c r="K115" s="52"/>
      <c r="L115" s="46">
        <v>1.9869600054757499</v>
      </c>
      <c r="M115" s="46">
        <v>52.091254752851732</v>
      </c>
      <c r="N115" s="32"/>
    </row>
    <row r="116" spans="1:14" x14ac:dyDescent="0.45">
      <c r="A116" s="49">
        <v>46239</v>
      </c>
      <c r="B116" s="39" t="s">
        <v>130</v>
      </c>
      <c r="C116" s="48">
        <v>301026</v>
      </c>
      <c r="D116" s="39" t="s">
        <v>202</v>
      </c>
      <c r="E116" s="51"/>
      <c r="F116" s="52"/>
      <c r="G116" s="41">
        <v>19.988833054159681</v>
      </c>
      <c r="H116" s="39" t="s">
        <v>31</v>
      </c>
      <c r="I116" s="39" t="s">
        <v>133</v>
      </c>
      <c r="J116" s="52"/>
      <c r="K116" s="52"/>
      <c r="L116" s="41">
        <v>6.1119855704803978</v>
      </c>
      <c r="M116" s="41">
        <v>23.576768257619321</v>
      </c>
      <c r="N116" s="32"/>
    </row>
    <row r="117" spans="1:14" x14ac:dyDescent="0.45">
      <c r="A117" s="50">
        <v>46239</v>
      </c>
      <c r="B117" s="44" t="s">
        <v>130</v>
      </c>
      <c r="C117" s="43">
        <v>301047</v>
      </c>
      <c r="D117" s="44" t="s">
        <v>203</v>
      </c>
      <c r="E117" s="51"/>
      <c r="F117" s="52"/>
      <c r="G117" s="46">
        <v>8.3991385498923155</v>
      </c>
      <c r="H117" s="44" t="s">
        <v>31</v>
      </c>
      <c r="I117" s="44" t="s">
        <v>133</v>
      </c>
      <c r="J117" s="52"/>
      <c r="K117" s="52"/>
      <c r="L117" s="46">
        <v>4.2185670904855179</v>
      </c>
      <c r="M117" s="46">
        <v>25.55432372505544</v>
      </c>
      <c r="N117" s="32"/>
    </row>
    <row r="118" spans="1:14" x14ac:dyDescent="0.45">
      <c r="A118" s="49">
        <v>46239</v>
      </c>
      <c r="B118" s="39" t="s">
        <v>130</v>
      </c>
      <c r="C118" s="48">
        <v>301082</v>
      </c>
      <c r="D118" s="39" t="s">
        <v>204</v>
      </c>
      <c r="E118" s="51"/>
      <c r="F118" s="52"/>
      <c r="G118" s="41">
        <v>7.5354609929078054</v>
      </c>
      <c r="H118" s="39" t="s">
        <v>31</v>
      </c>
      <c r="I118" s="39" t="s">
        <v>133</v>
      </c>
      <c r="J118" s="52"/>
      <c r="K118" s="52"/>
      <c r="L118" s="41">
        <v>2.5945357208004038</v>
      </c>
      <c r="M118" s="41">
        <v>53.544303797468352</v>
      </c>
      <c r="N118" s="32"/>
    </row>
    <row r="119" spans="1:14" x14ac:dyDescent="0.45">
      <c r="A119" s="50">
        <v>46239</v>
      </c>
      <c r="B119" s="44" t="s">
        <v>130</v>
      </c>
      <c r="C119" s="43">
        <v>301141</v>
      </c>
      <c r="D119" s="44" t="s">
        <v>205</v>
      </c>
      <c r="E119" s="51"/>
      <c r="F119" s="52"/>
      <c r="G119" s="46">
        <v>7.0912496655071164</v>
      </c>
      <c r="H119" s="44" t="s">
        <v>31</v>
      </c>
      <c r="I119" s="44" t="s">
        <v>133</v>
      </c>
      <c r="J119" s="52"/>
      <c r="K119" s="52"/>
      <c r="L119" s="46">
        <v>3.7280244839512431</v>
      </c>
      <c r="M119" s="46">
        <v>18.053097345132759</v>
      </c>
      <c r="N119" s="32"/>
    </row>
    <row r="120" spans="1:14" x14ac:dyDescent="0.45">
      <c r="A120" s="49">
        <v>46239</v>
      </c>
      <c r="B120" s="39" t="s">
        <v>130</v>
      </c>
      <c r="C120" s="48">
        <v>301168</v>
      </c>
      <c r="D120" s="39" t="s">
        <v>206</v>
      </c>
      <c r="E120" s="51"/>
      <c r="F120" s="52"/>
      <c r="G120" s="41">
        <v>5.4433497536945818</v>
      </c>
      <c r="H120" s="39" t="s">
        <v>31</v>
      </c>
      <c r="I120" s="39" t="s">
        <v>133</v>
      </c>
      <c r="J120" s="52"/>
      <c r="K120" s="52"/>
      <c r="L120" s="41">
        <v>1.781977666664788</v>
      </c>
      <c r="M120" s="41">
        <v>12.65789473684211</v>
      </c>
      <c r="N120" s="32"/>
    </row>
    <row r="121" spans="1:14" x14ac:dyDescent="0.45">
      <c r="A121" s="50">
        <v>46239</v>
      </c>
      <c r="B121" s="44" t="s">
        <v>130</v>
      </c>
      <c r="C121" s="43">
        <v>301197</v>
      </c>
      <c r="D121" s="44" t="s">
        <v>207</v>
      </c>
      <c r="E121" s="51"/>
      <c r="F121" s="52"/>
      <c r="G121" s="46">
        <v>7.1756362119316019</v>
      </c>
      <c r="H121" s="44" t="s">
        <v>31</v>
      </c>
      <c r="I121" s="44" t="s">
        <v>133</v>
      </c>
      <c r="J121" s="52"/>
      <c r="K121" s="52"/>
      <c r="L121" s="46">
        <v>1.5468263722943061</v>
      </c>
      <c r="M121" s="46">
        <v>33.177812337998972</v>
      </c>
      <c r="N121" s="32"/>
    </row>
    <row r="122" spans="1:14" x14ac:dyDescent="0.45">
      <c r="A122" s="49">
        <v>46239</v>
      </c>
      <c r="B122" s="39" t="s">
        <v>130</v>
      </c>
      <c r="C122" s="48">
        <v>301270</v>
      </c>
      <c r="D122" s="39" t="s">
        <v>208</v>
      </c>
      <c r="E122" s="51"/>
      <c r="F122" s="52"/>
      <c r="G122" s="41">
        <v>20.01361470388019</v>
      </c>
      <c r="H122" s="39" t="s">
        <v>30</v>
      </c>
      <c r="I122" s="39" t="s">
        <v>133</v>
      </c>
      <c r="J122" s="52"/>
      <c r="K122" s="52"/>
      <c r="L122" s="41">
        <v>2.562042878575594</v>
      </c>
      <c r="M122" s="41">
        <v>20.156695156695179</v>
      </c>
      <c r="N122" s="32"/>
    </row>
    <row r="123" spans="1:14" x14ac:dyDescent="0.45">
      <c r="A123" s="50">
        <v>46239</v>
      </c>
      <c r="B123" s="44" t="s">
        <v>130</v>
      </c>
      <c r="C123" s="43">
        <v>301376</v>
      </c>
      <c r="D123" s="44" t="s">
        <v>209</v>
      </c>
      <c r="E123" s="51"/>
      <c r="F123" s="52"/>
      <c r="G123" s="46">
        <v>6.4699792960662528</v>
      </c>
      <c r="H123" s="44" t="s">
        <v>31</v>
      </c>
      <c r="I123" s="44" t="s">
        <v>133</v>
      </c>
      <c r="J123" s="52"/>
      <c r="K123" s="52"/>
      <c r="L123" s="46">
        <v>1.957916644450737</v>
      </c>
      <c r="M123" s="46">
        <v>14.596100278551541</v>
      </c>
      <c r="N123" s="32"/>
    </row>
    <row r="124" spans="1:14" x14ac:dyDescent="0.45">
      <c r="A124" s="49">
        <v>46239</v>
      </c>
      <c r="B124" s="39" t="s">
        <v>130</v>
      </c>
      <c r="C124" s="48">
        <v>600103</v>
      </c>
      <c r="D124" s="39" t="s">
        <v>210</v>
      </c>
      <c r="E124" s="51"/>
      <c r="F124" s="52"/>
      <c r="G124" s="41">
        <v>5.4794520547945202</v>
      </c>
      <c r="H124" s="39" t="s">
        <v>30</v>
      </c>
      <c r="I124" s="39" t="s">
        <v>133</v>
      </c>
      <c r="J124" s="52"/>
      <c r="K124" s="52"/>
      <c r="L124" s="41">
        <v>2.7339643389173238</v>
      </c>
      <c r="M124" s="41">
        <v>17.110266159695819</v>
      </c>
      <c r="N124" s="32"/>
    </row>
    <row r="125" spans="1:14" x14ac:dyDescent="0.45">
      <c r="A125" s="50">
        <v>46239</v>
      </c>
      <c r="B125" s="44" t="s">
        <v>130</v>
      </c>
      <c r="C125" s="43">
        <v>600130</v>
      </c>
      <c r="D125" s="44" t="s">
        <v>211</v>
      </c>
      <c r="E125" s="51"/>
      <c r="F125" s="52"/>
      <c r="G125" s="46">
        <v>9.92366412213741</v>
      </c>
      <c r="H125" s="44" t="s">
        <v>31</v>
      </c>
      <c r="I125" s="44" t="s">
        <v>133</v>
      </c>
      <c r="J125" s="52"/>
      <c r="K125" s="52"/>
      <c r="L125" s="46">
        <v>2.0541156412242652</v>
      </c>
      <c r="M125" s="46">
        <v>22.379603399433439</v>
      </c>
      <c r="N125" s="32"/>
    </row>
    <row r="126" spans="1:14" x14ac:dyDescent="0.45">
      <c r="A126" s="49">
        <v>46239</v>
      </c>
      <c r="B126" s="39" t="s">
        <v>130</v>
      </c>
      <c r="C126" s="48">
        <v>600192</v>
      </c>
      <c r="D126" s="39" t="s">
        <v>212</v>
      </c>
      <c r="E126" s="51"/>
      <c r="F126" s="52"/>
      <c r="G126" s="41">
        <v>6.6481994459833826</v>
      </c>
      <c r="H126" s="39" t="s">
        <v>30</v>
      </c>
      <c r="I126" s="39" t="s">
        <v>133</v>
      </c>
      <c r="J126" s="52"/>
      <c r="K126" s="52"/>
      <c r="L126" s="41">
        <v>3.1977078608227649</v>
      </c>
      <c r="M126" s="41">
        <v>32.482993197278923</v>
      </c>
      <c r="N126" s="32"/>
    </row>
    <row r="127" spans="1:14" x14ac:dyDescent="0.45">
      <c r="A127" s="50">
        <v>46239</v>
      </c>
      <c r="B127" s="44" t="s">
        <v>130</v>
      </c>
      <c r="C127" s="43">
        <v>600362</v>
      </c>
      <c r="D127" s="44" t="s">
        <v>213</v>
      </c>
      <c r="E127" s="51"/>
      <c r="F127" s="52"/>
      <c r="G127" s="46">
        <v>5.9772727272727311</v>
      </c>
      <c r="H127" s="44" t="s">
        <v>31</v>
      </c>
      <c r="I127" s="44" t="s">
        <v>133</v>
      </c>
      <c r="J127" s="52"/>
      <c r="K127" s="52"/>
      <c r="L127" s="46">
        <v>1.8508472240028819</v>
      </c>
      <c r="M127" s="46">
        <v>8.3159117305458885</v>
      </c>
      <c r="N127" s="32"/>
    </row>
    <row r="128" spans="1:14" x14ac:dyDescent="0.45">
      <c r="A128" s="49">
        <v>46239</v>
      </c>
      <c r="B128" s="39" t="s">
        <v>130</v>
      </c>
      <c r="C128" s="48">
        <v>600468</v>
      </c>
      <c r="D128" s="39" t="s">
        <v>214</v>
      </c>
      <c r="E128" s="51"/>
      <c r="F128" s="52"/>
      <c r="G128" s="41">
        <v>8.038585209003223</v>
      </c>
      <c r="H128" s="39" t="s">
        <v>30</v>
      </c>
      <c r="I128" s="39" t="s">
        <v>133</v>
      </c>
      <c r="J128" s="52"/>
      <c r="K128" s="52"/>
      <c r="L128" s="41">
        <v>2.9853475750126042</v>
      </c>
      <c r="M128" s="41">
        <v>33.730158730158742</v>
      </c>
      <c r="N128" s="32"/>
    </row>
    <row r="129" spans="1:14" x14ac:dyDescent="0.45">
      <c r="A129" s="50">
        <v>46239</v>
      </c>
      <c r="B129" s="44" t="s">
        <v>130</v>
      </c>
      <c r="C129" s="43">
        <v>600547</v>
      </c>
      <c r="D129" s="44" t="s">
        <v>215</v>
      </c>
      <c r="E129" s="51"/>
      <c r="F129" s="52"/>
      <c r="G129" s="46">
        <v>6.9054652880354617</v>
      </c>
      <c r="H129" s="44" t="s">
        <v>31</v>
      </c>
      <c r="I129" s="44" t="s">
        <v>133</v>
      </c>
      <c r="J129" s="52"/>
      <c r="K129" s="52"/>
      <c r="L129" s="46">
        <v>1.52506956511022</v>
      </c>
      <c r="M129" s="46">
        <v>5.65693430656935</v>
      </c>
      <c r="N129" s="32"/>
    </row>
    <row r="130" spans="1:14" x14ac:dyDescent="0.45">
      <c r="A130" s="49">
        <v>46239</v>
      </c>
      <c r="B130" s="39" t="s">
        <v>130</v>
      </c>
      <c r="C130" s="48">
        <v>600556</v>
      </c>
      <c r="D130" s="39" t="s">
        <v>216</v>
      </c>
      <c r="E130" s="51"/>
      <c r="F130" s="52"/>
      <c r="G130" s="41">
        <v>9.9206349206349298</v>
      </c>
      <c r="H130" s="39" t="s">
        <v>31</v>
      </c>
      <c r="I130" s="39" t="s">
        <v>133</v>
      </c>
      <c r="J130" s="52"/>
      <c r="K130" s="52"/>
      <c r="L130" s="41">
        <v>2.14179117746415</v>
      </c>
      <c r="M130" s="41">
        <v>31.904761904761902</v>
      </c>
      <c r="N130" s="32"/>
    </row>
    <row r="131" spans="1:14" x14ac:dyDescent="0.45">
      <c r="A131" s="50">
        <v>46239</v>
      </c>
      <c r="B131" s="44" t="s">
        <v>130</v>
      </c>
      <c r="C131" s="43">
        <v>600611</v>
      </c>
      <c r="D131" s="44" t="s">
        <v>217</v>
      </c>
      <c r="E131" s="51"/>
      <c r="F131" s="52"/>
      <c r="G131" s="46">
        <v>10.093896713615051</v>
      </c>
      <c r="H131" s="44" t="s">
        <v>31</v>
      </c>
      <c r="I131" s="44" t="s">
        <v>133</v>
      </c>
      <c r="J131" s="52"/>
      <c r="K131" s="52"/>
      <c r="L131" s="46">
        <v>0.8098105164166679</v>
      </c>
      <c r="M131" s="46">
        <v>22.774869109947659</v>
      </c>
      <c r="N131" s="32"/>
    </row>
    <row r="132" spans="1:14" x14ac:dyDescent="0.45">
      <c r="A132" s="49">
        <v>46239</v>
      </c>
      <c r="B132" s="39" t="s">
        <v>130</v>
      </c>
      <c r="C132" s="48">
        <v>600629</v>
      </c>
      <c r="D132" s="39" t="s">
        <v>218</v>
      </c>
      <c r="E132" s="51"/>
      <c r="F132" s="52"/>
      <c r="G132" s="41">
        <v>10.03533568904593</v>
      </c>
      <c r="H132" s="39" t="s">
        <v>31</v>
      </c>
      <c r="I132" s="39" t="s">
        <v>133</v>
      </c>
      <c r="J132" s="52"/>
      <c r="K132" s="52"/>
      <c r="L132" s="41">
        <v>1.0387070690992231</v>
      </c>
      <c r="M132" s="41">
        <v>29.750000000000011</v>
      </c>
      <c r="N132" s="32"/>
    </row>
    <row r="133" spans="1:14" x14ac:dyDescent="0.45">
      <c r="A133" s="50">
        <v>46239</v>
      </c>
      <c r="B133" s="44" t="s">
        <v>130</v>
      </c>
      <c r="C133" s="43">
        <v>600650</v>
      </c>
      <c r="D133" s="44" t="s">
        <v>219</v>
      </c>
      <c r="E133" s="51"/>
      <c r="F133" s="52"/>
      <c r="G133" s="46">
        <v>6.9230769230769207</v>
      </c>
      <c r="H133" s="44" t="s">
        <v>31</v>
      </c>
      <c r="I133" s="44" t="s">
        <v>133</v>
      </c>
      <c r="J133" s="52"/>
      <c r="K133" s="52"/>
      <c r="L133" s="46">
        <v>4.9038206898811918</v>
      </c>
      <c r="M133" s="46">
        <v>14.75748194014448</v>
      </c>
      <c r="N133" s="32"/>
    </row>
    <row r="134" spans="1:14" x14ac:dyDescent="0.45">
      <c r="A134" s="49">
        <v>46239</v>
      </c>
      <c r="B134" s="39" t="s">
        <v>130</v>
      </c>
      <c r="C134" s="48">
        <v>600671</v>
      </c>
      <c r="D134" s="39" t="s">
        <v>220</v>
      </c>
      <c r="E134" s="51"/>
      <c r="F134" s="52"/>
      <c r="G134" s="41">
        <v>7.0497344278126484</v>
      </c>
      <c r="H134" s="39" t="s">
        <v>30</v>
      </c>
      <c r="I134" s="39" t="s">
        <v>133</v>
      </c>
      <c r="J134" s="52"/>
      <c r="K134" s="52"/>
      <c r="L134" s="41">
        <v>1.863448419686961</v>
      </c>
      <c r="M134" s="41">
        <v>2.509293680297398</v>
      </c>
      <c r="N134" s="32"/>
    </row>
    <row r="135" spans="1:14" x14ac:dyDescent="0.45">
      <c r="A135" s="50">
        <v>46239</v>
      </c>
      <c r="B135" s="44" t="s">
        <v>130</v>
      </c>
      <c r="C135" s="43">
        <v>600712</v>
      </c>
      <c r="D135" s="44" t="s">
        <v>221</v>
      </c>
      <c r="E135" s="51"/>
      <c r="F135" s="52"/>
      <c r="G135" s="46">
        <v>9.960159362549792</v>
      </c>
      <c r="H135" s="44" t="s">
        <v>30</v>
      </c>
      <c r="I135" s="44" t="s">
        <v>133</v>
      </c>
      <c r="J135" s="52"/>
      <c r="K135" s="52"/>
      <c r="L135" s="46">
        <v>1.655635450485593</v>
      </c>
      <c r="M135" s="46">
        <v>26.562499999999979</v>
      </c>
      <c r="N135" s="32"/>
    </row>
    <row r="136" spans="1:14" x14ac:dyDescent="0.45">
      <c r="A136" s="49">
        <v>46239</v>
      </c>
      <c r="B136" s="39" t="s">
        <v>130</v>
      </c>
      <c r="C136" s="48">
        <v>600721</v>
      </c>
      <c r="D136" s="39" t="s">
        <v>222</v>
      </c>
      <c r="E136" s="51"/>
      <c r="F136" s="52"/>
      <c r="G136" s="41">
        <v>9.9747474747474918</v>
      </c>
      <c r="H136" s="39" t="s">
        <v>31</v>
      </c>
      <c r="I136" s="39" t="s">
        <v>133</v>
      </c>
      <c r="J136" s="52"/>
      <c r="K136" s="52"/>
      <c r="L136" s="41">
        <v>2.8750054781207042</v>
      </c>
      <c r="M136" s="41">
        <v>27.90014684287814</v>
      </c>
      <c r="N136" s="32"/>
    </row>
    <row r="137" spans="1:14" x14ac:dyDescent="0.45">
      <c r="A137" s="50">
        <v>46239</v>
      </c>
      <c r="B137" s="44" t="s">
        <v>130</v>
      </c>
      <c r="C137" s="43">
        <v>600815</v>
      </c>
      <c r="D137" s="44" t="s">
        <v>223</v>
      </c>
      <c r="E137" s="51"/>
      <c r="F137" s="52"/>
      <c r="G137" s="46">
        <v>9.0624999999999964</v>
      </c>
      <c r="H137" s="44" t="s">
        <v>30</v>
      </c>
      <c r="I137" s="44" t="s">
        <v>133</v>
      </c>
      <c r="J137" s="52"/>
      <c r="K137" s="52"/>
      <c r="L137" s="46">
        <v>2.2466338147601088</v>
      </c>
      <c r="M137" s="46">
        <v>39.419087136929463</v>
      </c>
      <c r="N137" s="32"/>
    </row>
    <row r="138" spans="1:14" x14ac:dyDescent="0.45">
      <c r="A138" s="49">
        <v>46239</v>
      </c>
      <c r="B138" s="39" t="s">
        <v>130</v>
      </c>
      <c r="C138" s="48">
        <v>600892</v>
      </c>
      <c r="D138" s="39" t="s">
        <v>224</v>
      </c>
      <c r="E138" s="51"/>
      <c r="F138" s="52"/>
      <c r="G138" s="41">
        <v>10.05291005291007</v>
      </c>
      <c r="H138" s="39" t="s">
        <v>31</v>
      </c>
      <c r="I138" s="39" t="s">
        <v>133</v>
      </c>
      <c r="J138" s="52"/>
      <c r="K138" s="52"/>
      <c r="L138" s="41">
        <v>2.17171724410758</v>
      </c>
      <c r="M138" s="41">
        <v>38.2059800664452</v>
      </c>
      <c r="N138" s="32"/>
    </row>
    <row r="139" spans="1:14" x14ac:dyDescent="0.45">
      <c r="A139" s="50">
        <v>46239</v>
      </c>
      <c r="B139" s="44" t="s">
        <v>130</v>
      </c>
      <c r="C139" s="43">
        <v>601212</v>
      </c>
      <c r="D139" s="44" t="s">
        <v>225</v>
      </c>
      <c r="E139" s="51"/>
      <c r="F139" s="52"/>
      <c r="G139" s="46">
        <v>6.2135922330097024</v>
      </c>
      <c r="H139" s="44" t="s">
        <v>31</v>
      </c>
      <c r="I139" s="44" t="s">
        <v>133</v>
      </c>
      <c r="J139" s="52"/>
      <c r="K139" s="52"/>
      <c r="L139" s="46">
        <v>1.5592707257375391</v>
      </c>
      <c r="M139" s="46">
        <v>13.958333333333339</v>
      </c>
      <c r="N139" s="32"/>
    </row>
    <row r="140" spans="1:14" x14ac:dyDescent="0.45">
      <c r="A140" s="49">
        <v>46239</v>
      </c>
      <c r="B140" s="39" t="s">
        <v>130</v>
      </c>
      <c r="C140" s="48">
        <v>601700</v>
      </c>
      <c r="D140" s="39" t="s">
        <v>226</v>
      </c>
      <c r="E140" s="51"/>
      <c r="F140" s="52"/>
      <c r="G140" s="41">
        <v>9.9662162162162069</v>
      </c>
      <c r="H140" s="39" t="s">
        <v>31</v>
      </c>
      <c r="I140" s="39" t="s">
        <v>133</v>
      </c>
      <c r="J140" s="52"/>
      <c r="K140" s="52"/>
      <c r="L140" s="41">
        <v>5.1564141614394394</v>
      </c>
      <c r="M140" s="41">
        <v>44.666666666666657</v>
      </c>
      <c r="N140" s="32"/>
    </row>
    <row r="141" spans="1:14" x14ac:dyDescent="0.45">
      <c r="A141" s="50">
        <v>46239</v>
      </c>
      <c r="B141" s="44" t="s">
        <v>130</v>
      </c>
      <c r="C141" s="43">
        <v>601858</v>
      </c>
      <c r="D141" s="44" t="s">
        <v>227</v>
      </c>
      <c r="E141" s="51"/>
      <c r="F141" s="52"/>
      <c r="G141" s="46">
        <v>5.9314954051796098</v>
      </c>
      <c r="H141" s="44" t="s">
        <v>31</v>
      </c>
      <c r="I141" s="44" t="s">
        <v>133</v>
      </c>
      <c r="J141" s="52"/>
      <c r="K141" s="52"/>
      <c r="L141" s="46">
        <v>1.5608939578130541</v>
      </c>
      <c r="M141" s="46">
        <v>49.264273101824621</v>
      </c>
      <c r="N141" s="32"/>
    </row>
    <row r="142" spans="1:14" x14ac:dyDescent="0.45">
      <c r="A142" s="49">
        <v>46239</v>
      </c>
      <c r="B142" s="39" t="s">
        <v>130</v>
      </c>
      <c r="C142" s="48">
        <v>601872</v>
      </c>
      <c r="D142" s="39" t="s">
        <v>228</v>
      </c>
      <c r="E142" s="51"/>
      <c r="F142" s="52"/>
      <c r="G142" s="41">
        <v>7.8665077473182299</v>
      </c>
      <c r="H142" s="39" t="s">
        <v>31</v>
      </c>
      <c r="I142" s="39" t="s">
        <v>133</v>
      </c>
      <c r="J142" s="52"/>
      <c r="K142" s="52"/>
      <c r="L142" s="41">
        <v>1.6028090484232249</v>
      </c>
      <c r="M142" s="41">
        <v>14.84771573604062</v>
      </c>
      <c r="N142" s="32"/>
    </row>
    <row r="143" spans="1:14" x14ac:dyDescent="0.45">
      <c r="A143" s="50">
        <v>46239</v>
      </c>
      <c r="B143" s="44" t="s">
        <v>130</v>
      </c>
      <c r="C143" s="43">
        <v>603058</v>
      </c>
      <c r="D143" s="44" t="s">
        <v>229</v>
      </c>
      <c r="E143" s="51"/>
      <c r="F143" s="52"/>
      <c r="G143" s="46">
        <v>9.977578475336335</v>
      </c>
      <c r="H143" s="44" t="s">
        <v>30</v>
      </c>
      <c r="I143" s="44" t="s">
        <v>133</v>
      </c>
      <c r="J143" s="52"/>
      <c r="K143" s="52"/>
      <c r="L143" s="46">
        <v>1.0765450122368401</v>
      </c>
      <c r="M143" s="46">
        <v>24.472049689440961</v>
      </c>
      <c r="N143" s="32"/>
    </row>
    <row r="144" spans="1:14" x14ac:dyDescent="0.45">
      <c r="A144" s="49">
        <v>46239</v>
      </c>
      <c r="B144" s="39" t="s">
        <v>130</v>
      </c>
      <c r="C144" s="48">
        <v>603106</v>
      </c>
      <c r="D144" s="39" t="s">
        <v>230</v>
      </c>
      <c r="E144" s="51"/>
      <c r="F144" s="52"/>
      <c r="G144" s="41">
        <v>9.9756690997566686</v>
      </c>
      <c r="H144" s="39" t="s">
        <v>30</v>
      </c>
      <c r="I144" s="39" t="s">
        <v>133</v>
      </c>
      <c r="J144" s="52"/>
      <c r="K144" s="52"/>
      <c r="L144" s="41">
        <v>2.4281896391542501</v>
      </c>
      <c r="M144" s="41">
        <v>45.61403508771933</v>
      </c>
      <c r="N144" s="32"/>
    </row>
    <row r="145" spans="1:14" x14ac:dyDescent="0.45">
      <c r="A145" s="50">
        <v>46239</v>
      </c>
      <c r="B145" s="44" t="s">
        <v>130</v>
      </c>
      <c r="C145" s="43">
        <v>603132</v>
      </c>
      <c r="D145" s="44" t="s">
        <v>231</v>
      </c>
      <c r="E145" s="51"/>
      <c r="F145" s="52"/>
      <c r="G145" s="46">
        <v>7.1887784921098818</v>
      </c>
      <c r="H145" s="44" t="s">
        <v>31</v>
      </c>
      <c r="I145" s="44" t="s">
        <v>133</v>
      </c>
      <c r="J145" s="52"/>
      <c r="K145" s="52"/>
      <c r="L145" s="46">
        <v>1.86178493556941</v>
      </c>
      <c r="M145" s="46">
        <v>24.33898305084745</v>
      </c>
      <c r="N145" s="32"/>
    </row>
    <row r="146" spans="1:14" x14ac:dyDescent="0.45">
      <c r="A146" s="49">
        <v>46239</v>
      </c>
      <c r="B146" s="39" t="s">
        <v>130</v>
      </c>
      <c r="C146" s="48">
        <v>603206</v>
      </c>
      <c r="D146" s="39" t="s">
        <v>232</v>
      </c>
      <c r="E146" s="51"/>
      <c r="F146" s="52"/>
      <c r="G146" s="41">
        <v>9.9787685774946908</v>
      </c>
      <c r="H146" s="39" t="s">
        <v>31</v>
      </c>
      <c r="I146" s="39" t="s">
        <v>133</v>
      </c>
      <c r="J146" s="52"/>
      <c r="K146" s="52"/>
      <c r="L146" s="41">
        <v>1.5974778651632009</v>
      </c>
      <c r="M146" s="41">
        <v>24.121405750798729</v>
      </c>
      <c r="N146" s="32"/>
    </row>
    <row r="147" spans="1:14" x14ac:dyDescent="0.45">
      <c r="A147" s="50">
        <v>46239</v>
      </c>
      <c r="B147" s="44" t="s">
        <v>130</v>
      </c>
      <c r="C147" s="43">
        <v>603259</v>
      </c>
      <c r="D147" s="44" t="s">
        <v>233</v>
      </c>
      <c r="E147" s="51"/>
      <c r="F147" s="52"/>
      <c r="G147" s="46">
        <v>9.9999999999999858</v>
      </c>
      <c r="H147" s="44" t="s">
        <v>30</v>
      </c>
      <c r="I147" s="44" t="s">
        <v>133</v>
      </c>
      <c r="J147" s="52"/>
      <c r="K147" s="52"/>
      <c r="L147" s="46">
        <v>1.4162860333969329</v>
      </c>
      <c r="M147" s="46">
        <v>17.156473391580619</v>
      </c>
      <c r="N147" s="32"/>
    </row>
    <row r="148" spans="1:14" x14ac:dyDescent="0.45">
      <c r="A148" s="49">
        <v>46239</v>
      </c>
      <c r="B148" s="39" t="s">
        <v>130</v>
      </c>
      <c r="C148" s="48">
        <v>603598</v>
      </c>
      <c r="D148" s="39" t="s">
        <v>234</v>
      </c>
      <c r="E148" s="51"/>
      <c r="F148" s="52"/>
      <c r="G148" s="41">
        <v>5.7271195957327334</v>
      </c>
      <c r="H148" s="39" t="s">
        <v>30</v>
      </c>
      <c r="I148" s="39" t="s">
        <v>133</v>
      </c>
      <c r="J148" s="52"/>
      <c r="K148" s="52"/>
      <c r="L148" s="41">
        <v>2.098345907125641</v>
      </c>
      <c r="M148" s="41">
        <v>22.90127602417731</v>
      </c>
      <c r="N148" s="32"/>
    </row>
    <row r="149" spans="1:14" x14ac:dyDescent="0.45">
      <c r="A149" s="50">
        <v>46239</v>
      </c>
      <c r="B149" s="44" t="s">
        <v>130</v>
      </c>
      <c r="C149" s="43">
        <v>603680</v>
      </c>
      <c r="D149" s="44" t="s">
        <v>235</v>
      </c>
      <c r="E149" s="51"/>
      <c r="F149" s="52"/>
      <c r="G149" s="46">
        <v>5.3571428571428381</v>
      </c>
      <c r="H149" s="44" t="s">
        <v>31</v>
      </c>
      <c r="I149" s="44" t="s">
        <v>133</v>
      </c>
      <c r="J149" s="52"/>
      <c r="K149" s="52"/>
      <c r="L149" s="46">
        <v>1.817719318197254</v>
      </c>
      <c r="M149" s="46">
        <v>20.408163265306101</v>
      </c>
      <c r="N149" s="32"/>
    </row>
    <row r="150" spans="1:14" x14ac:dyDescent="0.45">
      <c r="A150" s="49">
        <v>46239</v>
      </c>
      <c r="B150" s="39" t="s">
        <v>130</v>
      </c>
      <c r="C150" s="48">
        <v>603682</v>
      </c>
      <c r="D150" s="39" t="s">
        <v>236</v>
      </c>
      <c r="E150" s="51"/>
      <c r="F150" s="52"/>
      <c r="G150" s="41">
        <v>8.1532416502946958</v>
      </c>
      <c r="H150" s="39" t="s">
        <v>31</v>
      </c>
      <c r="I150" s="39" t="s">
        <v>133</v>
      </c>
      <c r="J150" s="52"/>
      <c r="K150" s="52"/>
      <c r="L150" s="41">
        <v>1.5137006485515789</v>
      </c>
      <c r="M150" s="41">
        <v>47.192513368983938</v>
      </c>
      <c r="N150" s="32"/>
    </row>
    <row r="151" spans="1:14" x14ac:dyDescent="0.45">
      <c r="A151" s="50">
        <v>46239</v>
      </c>
      <c r="B151" s="44" t="s">
        <v>130</v>
      </c>
      <c r="C151" s="43">
        <v>603721</v>
      </c>
      <c r="D151" s="44" t="s">
        <v>237</v>
      </c>
      <c r="E151" s="51"/>
      <c r="F151" s="52"/>
      <c r="G151" s="46">
        <v>6.8298235628912796</v>
      </c>
      <c r="H151" s="44" t="s">
        <v>30</v>
      </c>
      <c r="I151" s="44" t="s">
        <v>133</v>
      </c>
      <c r="J151" s="52"/>
      <c r="K151" s="52"/>
      <c r="L151" s="46">
        <v>1.745456022229696</v>
      </c>
      <c r="M151" s="46">
        <v>25.13774104683197</v>
      </c>
      <c r="N151" s="32"/>
    </row>
    <row r="152" spans="1:14" x14ac:dyDescent="0.45">
      <c r="A152" s="49">
        <v>46239</v>
      </c>
      <c r="B152" s="39" t="s">
        <v>130</v>
      </c>
      <c r="C152" s="48">
        <v>603912</v>
      </c>
      <c r="D152" s="39" t="s">
        <v>238</v>
      </c>
      <c r="E152" s="51"/>
      <c r="F152" s="52"/>
      <c r="G152" s="41">
        <v>9.9579242636746113</v>
      </c>
      <c r="H152" s="39" t="s">
        <v>30</v>
      </c>
      <c r="I152" s="39" t="s">
        <v>133</v>
      </c>
      <c r="J152" s="52"/>
      <c r="K152" s="52"/>
      <c r="L152" s="41">
        <v>2.221760345692815</v>
      </c>
      <c r="M152" s="41">
        <v>13.372093023255809</v>
      </c>
      <c r="N152" s="32"/>
    </row>
    <row r="153" spans="1:14" x14ac:dyDescent="0.45">
      <c r="A153" s="50">
        <v>46239</v>
      </c>
      <c r="B153" s="44" t="s">
        <v>130</v>
      </c>
      <c r="C153" s="43">
        <v>603988</v>
      </c>
      <c r="D153" s="44" t="s">
        <v>239</v>
      </c>
      <c r="E153" s="51"/>
      <c r="F153" s="52"/>
      <c r="G153" s="46">
        <v>10.01598295151838</v>
      </c>
      <c r="H153" s="44" t="s">
        <v>31</v>
      </c>
      <c r="I153" s="44" t="s">
        <v>133</v>
      </c>
      <c r="J153" s="52"/>
      <c r="K153" s="52"/>
      <c r="L153" s="46">
        <v>1.2060821404338991</v>
      </c>
      <c r="M153" s="46">
        <v>32.286995515695068</v>
      </c>
      <c r="N153" s="32"/>
    </row>
    <row r="154" spans="1:14" x14ac:dyDescent="0.45">
      <c r="A154" s="49">
        <v>46239</v>
      </c>
      <c r="B154" s="39" t="s">
        <v>130</v>
      </c>
      <c r="C154" s="48">
        <v>605098</v>
      </c>
      <c r="D154" s="39" t="s">
        <v>240</v>
      </c>
      <c r="E154" s="51"/>
      <c r="F154" s="52"/>
      <c r="G154" s="41">
        <v>5.0148523501660103</v>
      </c>
      <c r="H154" s="39" t="s">
        <v>30</v>
      </c>
      <c r="I154" s="39" t="s">
        <v>133</v>
      </c>
      <c r="J154" s="52"/>
      <c r="K154" s="52"/>
      <c r="L154" s="41">
        <v>2.255424254547516</v>
      </c>
      <c r="M154" s="41">
        <v>9.31999258847509</v>
      </c>
      <c r="N154" s="32"/>
    </row>
    <row r="155" spans="1:14" x14ac:dyDescent="0.45">
      <c r="A155" s="50">
        <v>46239</v>
      </c>
      <c r="B155" s="44" t="s">
        <v>130</v>
      </c>
      <c r="C155" s="43">
        <v>605155</v>
      </c>
      <c r="D155" s="44" t="s">
        <v>241</v>
      </c>
      <c r="E155" s="51"/>
      <c r="F155" s="52"/>
      <c r="G155" s="46">
        <v>5.4194506310319079</v>
      </c>
      <c r="H155" s="44" t="s">
        <v>31</v>
      </c>
      <c r="I155" s="44" t="s">
        <v>133</v>
      </c>
      <c r="J155" s="52"/>
      <c r="K155" s="52"/>
      <c r="L155" s="46">
        <v>3.196848186634234</v>
      </c>
      <c r="M155" s="46">
        <v>11.19812059514487</v>
      </c>
      <c r="N155" s="32"/>
    </row>
    <row r="156" spans="1:14" x14ac:dyDescent="0.45">
      <c r="A156" s="49">
        <v>46239</v>
      </c>
      <c r="B156" s="39" t="s">
        <v>130</v>
      </c>
      <c r="C156" s="48">
        <v>605179</v>
      </c>
      <c r="D156" s="39" t="s">
        <v>242</v>
      </c>
      <c r="E156" s="51"/>
      <c r="F156" s="52"/>
      <c r="G156" s="41">
        <v>7.6071922544951542</v>
      </c>
      <c r="H156" s="39" t="s">
        <v>31</v>
      </c>
      <c r="I156" s="39" t="s">
        <v>133</v>
      </c>
      <c r="J156" s="52"/>
      <c r="K156" s="52"/>
      <c r="L156" s="41">
        <v>1.7488557331832679</v>
      </c>
      <c r="M156" s="41">
        <v>62.648083623693381</v>
      </c>
      <c r="N156" s="32"/>
    </row>
    <row r="157" spans="1:14" x14ac:dyDescent="0.45">
      <c r="A157" s="50">
        <v>46240</v>
      </c>
      <c r="B157" s="44" t="s">
        <v>112</v>
      </c>
      <c r="C157" s="44" t="s">
        <v>43</v>
      </c>
      <c r="D157" s="44" t="s">
        <v>44</v>
      </c>
      <c r="E157" s="45">
        <v>86.3</v>
      </c>
      <c r="F157" s="46">
        <v>62.5</v>
      </c>
      <c r="G157" s="46">
        <v>8.8281386035173206</v>
      </c>
      <c r="H157" s="44" t="s">
        <v>25</v>
      </c>
      <c r="I157" s="44" t="s">
        <v>45</v>
      </c>
      <c r="J157" s="46">
        <v>53.905999999999992</v>
      </c>
      <c r="K157" s="46">
        <v>59.403499999999987</v>
      </c>
      <c r="L157" s="46">
        <v>2.483176624160687</v>
      </c>
      <c r="M157" s="46">
        <v>8.2251082251082241</v>
      </c>
      <c r="N157" s="32"/>
    </row>
    <row r="158" spans="1:14" x14ac:dyDescent="0.45">
      <c r="A158" s="49">
        <v>46240</v>
      </c>
      <c r="B158" s="39" t="s">
        <v>112</v>
      </c>
      <c r="C158" s="48">
        <v>603986</v>
      </c>
      <c r="D158" s="39" t="s">
        <v>46</v>
      </c>
      <c r="E158" s="40">
        <v>86.3</v>
      </c>
      <c r="F158" s="41">
        <v>385</v>
      </c>
      <c r="G158" s="41">
        <v>-0.1141552511415567</v>
      </c>
      <c r="H158" s="39" t="s">
        <v>26</v>
      </c>
      <c r="I158" s="39" t="s">
        <v>47</v>
      </c>
      <c r="J158" s="41">
        <v>386.25900000000001</v>
      </c>
      <c r="K158" s="41">
        <v>449.43599999999998</v>
      </c>
      <c r="L158" s="41">
        <v>0.81138124570199854</v>
      </c>
      <c r="M158" s="41">
        <v>-14.81547039561023</v>
      </c>
      <c r="N158" s="32"/>
    </row>
    <row r="159" spans="1:14" x14ac:dyDescent="0.45">
      <c r="A159" s="50">
        <v>46240</v>
      </c>
      <c r="B159" s="44" t="s">
        <v>112</v>
      </c>
      <c r="C159" s="43">
        <v>601899</v>
      </c>
      <c r="D159" s="44" t="s">
        <v>48</v>
      </c>
      <c r="E159" s="45">
        <v>81.8</v>
      </c>
      <c r="F159" s="46">
        <v>34.5</v>
      </c>
      <c r="G159" s="46">
        <v>1.1730205278592361</v>
      </c>
      <c r="H159" s="44" t="s">
        <v>30</v>
      </c>
      <c r="I159" s="44" t="s">
        <v>49</v>
      </c>
      <c r="J159" s="46">
        <v>32.603999999999999</v>
      </c>
      <c r="K159" s="46">
        <v>31.071999999999999</v>
      </c>
      <c r="L159" s="46">
        <v>1.4124573933389999</v>
      </c>
      <c r="M159" s="46">
        <v>4.3557168784029043</v>
      </c>
      <c r="N159" s="43">
        <v>159</v>
      </c>
    </row>
    <row r="160" spans="1:14" x14ac:dyDescent="0.45">
      <c r="A160" s="49">
        <v>46240</v>
      </c>
      <c r="B160" s="39" t="s">
        <v>112</v>
      </c>
      <c r="C160" s="48">
        <v>603061</v>
      </c>
      <c r="D160" s="39" t="s">
        <v>50</v>
      </c>
      <c r="E160" s="40">
        <v>81.400000000000006</v>
      </c>
      <c r="F160" s="41">
        <v>307.73</v>
      </c>
      <c r="G160" s="41">
        <v>5.0775114389127962</v>
      </c>
      <c r="H160" s="39" t="s">
        <v>26</v>
      </c>
      <c r="I160" s="39" t="s">
        <v>47</v>
      </c>
      <c r="J160" s="41">
        <v>276.649</v>
      </c>
      <c r="K160" s="41">
        <v>312.59449999999998</v>
      </c>
      <c r="L160" s="41">
        <v>1.400700072488849</v>
      </c>
      <c r="M160" s="41">
        <v>3.071409431939975</v>
      </c>
      <c r="N160" s="32"/>
    </row>
    <row r="161" spans="1:14" x14ac:dyDescent="0.45">
      <c r="A161" s="50">
        <v>46240</v>
      </c>
      <c r="B161" s="44" t="s">
        <v>112</v>
      </c>
      <c r="C161" s="44" t="s">
        <v>51</v>
      </c>
      <c r="D161" s="44" t="s">
        <v>52</v>
      </c>
      <c r="E161" s="45">
        <v>79.599999999999994</v>
      </c>
      <c r="F161" s="46">
        <v>67.069999999999993</v>
      </c>
      <c r="G161" s="46">
        <v>4.6497113434232906</v>
      </c>
      <c r="H161" s="44" t="s">
        <v>26</v>
      </c>
      <c r="I161" s="44" t="s">
        <v>47</v>
      </c>
      <c r="J161" s="46">
        <v>63.551000000000002</v>
      </c>
      <c r="K161" s="46">
        <v>67.567999999999998</v>
      </c>
      <c r="L161" s="46">
        <v>1.191821181688612</v>
      </c>
      <c r="M161" s="46">
        <v>-6.8730908081088611</v>
      </c>
      <c r="N161" s="32"/>
    </row>
    <row r="162" spans="1:14" x14ac:dyDescent="0.45">
      <c r="A162" s="49">
        <v>46240</v>
      </c>
      <c r="B162" s="39" t="s">
        <v>112</v>
      </c>
      <c r="C162" s="39" t="s">
        <v>53</v>
      </c>
      <c r="D162" s="39" t="s">
        <v>54</v>
      </c>
      <c r="E162" s="40">
        <v>78.5</v>
      </c>
      <c r="F162" s="41">
        <v>388.25</v>
      </c>
      <c r="G162" s="41">
        <v>0.52040182270089996</v>
      </c>
      <c r="H162" s="39" t="s">
        <v>26</v>
      </c>
      <c r="I162" s="39" t="s">
        <v>47</v>
      </c>
      <c r="J162" s="41">
        <v>378.11200000000002</v>
      </c>
      <c r="K162" s="41">
        <v>485.76350000000002</v>
      </c>
      <c r="L162" s="41">
        <v>0.74546113258106661</v>
      </c>
      <c r="M162" s="41">
        <v>-10.74712643678161</v>
      </c>
      <c r="N162" s="32"/>
    </row>
    <row r="163" spans="1:14" x14ac:dyDescent="0.45">
      <c r="A163" s="50">
        <v>46240</v>
      </c>
      <c r="B163" s="44" t="s">
        <v>112</v>
      </c>
      <c r="C163" s="44" t="s">
        <v>55</v>
      </c>
      <c r="D163" s="44" t="s">
        <v>56</v>
      </c>
      <c r="E163" s="45">
        <v>78.2</v>
      </c>
      <c r="F163" s="46">
        <v>25.46</v>
      </c>
      <c r="G163" s="46">
        <v>5.1197357555739176</v>
      </c>
      <c r="H163" s="44" t="s">
        <v>27</v>
      </c>
      <c r="I163" s="44" t="s">
        <v>57</v>
      </c>
      <c r="J163" s="46">
        <v>23.024999999999999</v>
      </c>
      <c r="K163" s="46">
        <v>21.584499999999998</v>
      </c>
      <c r="L163" s="46">
        <v>1.3379777533778081</v>
      </c>
      <c r="M163" s="46">
        <v>11.617711530030711</v>
      </c>
      <c r="N163" s="32"/>
    </row>
    <row r="164" spans="1:14" x14ac:dyDescent="0.45">
      <c r="A164" s="49">
        <v>46240</v>
      </c>
      <c r="B164" s="39" t="s">
        <v>112</v>
      </c>
      <c r="C164" s="48">
        <v>300666</v>
      </c>
      <c r="D164" s="39" t="s">
        <v>58</v>
      </c>
      <c r="E164" s="40">
        <v>77.5</v>
      </c>
      <c r="F164" s="41">
        <v>238.62</v>
      </c>
      <c r="G164" s="41">
        <v>7.2931654676259061</v>
      </c>
      <c r="H164" s="39" t="s">
        <v>25</v>
      </c>
      <c r="I164" s="39" t="s">
        <v>45</v>
      </c>
      <c r="J164" s="41">
        <v>215.959</v>
      </c>
      <c r="K164" s="41">
        <v>238.42850000000001</v>
      </c>
      <c r="L164" s="41">
        <v>1.271839932731395</v>
      </c>
      <c r="M164" s="41">
        <v>4.7543790333201663</v>
      </c>
      <c r="N164" s="32"/>
    </row>
    <row r="165" spans="1:14" x14ac:dyDescent="0.45">
      <c r="A165" s="50">
        <v>46240</v>
      </c>
      <c r="B165" s="44" t="s">
        <v>112</v>
      </c>
      <c r="C165" s="43">
        <v>601869</v>
      </c>
      <c r="D165" s="44" t="s">
        <v>59</v>
      </c>
      <c r="E165" s="45">
        <v>77.5</v>
      </c>
      <c r="F165" s="46">
        <v>328.25</v>
      </c>
      <c r="G165" s="46">
        <v>5.0736235595390644</v>
      </c>
      <c r="H165" s="44" t="s">
        <v>26</v>
      </c>
      <c r="I165" s="44" t="s">
        <v>47</v>
      </c>
      <c r="J165" s="46">
        <v>297.26499999999999</v>
      </c>
      <c r="K165" s="46">
        <v>343.452</v>
      </c>
      <c r="L165" s="46">
        <v>1.4043554338448061</v>
      </c>
      <c r="M165" s="46">
        <v>-7.826013703246093</v>
      </c>
      <c r="N165" s="32"/>
    </row>
    <row r="166" spans="1:14" x14ac:dyDescent="0.45">
      <c r="A166" s="49">
        <v>46240</v>
      </c>
      <c r="B166" s="39" t="s">
        <v>112</v>
      </c>
      <c r="C166" s="48">
        <v>603256</v>
      </c>
      <c r="D166" s="39" t="s">
        <v>62</v>
      </c>
      <c r="E166" s="40">
        <v>77.3</v>
      </c>
      <c r="F166" s="41">
        <v>148.74</v>
      </c>
      <c r="G166" s="41">
        <v>7.6967634494243597</v>
      </c>
      <c r="H166" s="39" t="s">
        <v>26</v>
      </c>
      <c r="I166" s="39" t="s">
        <v>47</v>
      </c>
      <c r="J166" s="41">
        <v>137.48400000000001</v>
      </c>
      <c r="K166" s="41">
        <v>155.761</v>
      </c>
      <c r="L166" s="41">
        <v>1.2957013094294829</v>
      </c>
      <c r="M166" s="41">
        <v>-3.308847428980044</v>
      </c>
      <c r="N166" s="32"/>
    </row>
    <row r="167" spans="1:14" x14ac:dyDescent="0.45">
      <c r="A167" s="50">
        <v>46240</v>
      </c>
      <c r="B167" s="44" t="s">
        <v>112</v>
      </c>
      <c r="C167" s="44" t="s">
        <v>60</v>
      </c>
      <c r="D167" s="44" t="s">
        <v>61</v>
      </c>
      <c r="E167" s="45">
        <v>77.3</v>
      </c>
      <c r="F167" s="46">
        <v>18.72</v>
      </c>
      <c r="G167" s="46">
        <v>4.8152295632698738</v>
      </c>
      <c r="H167" s="44" t="s">
        <v>25</v>
      </c>
      <c r="I167" s="44" t="s">
        <v>45</v>
      </c>
      <c r="J167" s="46">
        <v>16.670000000000002</v>
      </c>
      <c r="K167" s="46">
        <v>18.102</v>
      </c>
      <c r="L167" s="46">
        <v>1.693006841989255</v>
      </c>
      <c r="M167" s="46">
        <v>6.7883628066172097</v>
      </c>
      <c r="N167" s="32"/>
    </row>
    <row r="168" spans="1:14" x14ac:dyDescent="0.45">
      <c r="A168" s="49">
        <v>46240</v>
      </c>
      <c r="B168" s="39" t="s">
        <v>112</v>
      </c>
      <c r="C168" s="39" t="s">
        <v>63</v>
      </c>
      <c r="D168" s="39" t="s">
        <v>64</v>
      </c>
      <c r="E168" s="40">
        <v>76.400000000000006</v>
      </c>
      <c r="F168" s="41">
        <v>36.979999999999997</v>
      </c>
      <c r="G168" s="41">
        <v>7.0023148148147918</v>
      </c>
      <c r="H168" s="39" t="s">
        <v>25</v>
      </c>
      <c r="I168" s="39" t="s">
        <v>45</v>
      </c>
      <c r="J168" s="41">
        <v>31.381</v>
      </c>
      <c r="K168" s="41">
        <v>32.485499999999988</v>
      </c>
      <c r="L168" s="41">
        <v>2.3573019889301121</v>
      </c>
      <c r="M168" s="41">
        <v>16.988294843403981</v>
      </c>
      <c r="N168" s="32"/>
    </row>
    <row r="169" spans="1:14" x14ac:dyDescent="0.45">
      <c r="A169" s="50">
        <v>46240</v>
      </c>
      <c r="B169" s="44" t="s">
        <v>112</v>
      </c>
      <c r="C169" s="43">
        <v>600549</v>
      </c>
      <c r="D169" s="44" t="s">
        <v>66</v>
      </c>
      <c r="E169" s="45">
        <v>76.2</v>
      </c>
      <c r="F169" s="46">
        <v>57.47</v>
      </c>
      <c r="G169" s="46">
        <v>6.9806403574087961</v>
      </c>
      <c r="H169" s="44" t="s">
        <v>25</v>
      </c>
      <c r="I169" s="44" t="s">
        <v>45</v>
      </c>
      <c r="J169" s="46">
        <v>49.198999999999998</v>
      </c>
      <c r="K169" s="46">
        <v>51.961500000000001</v>
      </c>
      <c r="L169" s="46">
        <v>2.1686479826314198</v>
      </c>
      <c r="M169" s="46">
        <v>14.322657648697019</v>
      </c>
      <c r="N169" s="32"/>
    </row>
    <row r="170" spans="1:14" x14ac:dyDescent="0.45">
      <c r="A170" s="49">
        <v>46240</v>
      </c>
      <c r="B170" s="39" t="s">
        <v>112</v>
      </c>
      <c r="C170" s="48">
        <v>600183</v>
      </c>
      <c r="D170" s="39" t="s">
        <v>65</v>
      </c>
      <c r="E170" s="40">
        <v>76.2</v>
      </c>
      <c r="F170" s="41">
        <v>127.25</v>
      </c>
      <c r="G170" s="41">
        <v>3.6322176072970169</v>
      </c>
      <c r="H170" s="39" t="s">
        <v>25</v>
      </c>
      <c r="I170" s="39" t="s">
        <v>45</v>
      </c>
      <c r="J170" s="41">
        <v>113.629</v>
      </c>
      <c r="K170" s="41">
        <v>125.49250000000001</v>
      </c>
      <c r="L170" s="41">
        <v>1.0405318079420229</v>
      </c>
      <c r="M170" s="41">
        <v>1.7186250999200681</v>
      </c>
      <c r="N170" s="32"/>
    </row>
    <row r="171" spans="1:14" x14ac:dyDescent="0.45">
      <c r="A171" s="50">
        <v>46240</v>
      </c>
      <c r="B171" s="44" t="s">
        <v>112</v>
      </c>
      <c r="C171" s="43">
        <v>301201</v>
      </c>
      <c r="D171" s="44" t="s">
        <v>69</v>
      </c>
      <c r="E171" s="45">
        <v>76</v>
      </c>
      <c r="F171" s="46">
        <v>33.24</v>
      </c>
      <c r="G171" s="46">
        <v>6.6067992302758283</v>
      </c>
      <c r="H171" s="44" t="s">
        <v>25</v>
      </c>
      <c r="I171" s="44" t="s">
        <v>45</v>
      </c>
      <c r="J171" s="46">
        <v>28.948</v>
      </c>
      <c r="K171" s="46">
        <v>31.536999999999999</v>
      </c>
      <c r="L171" s="46">
        <v>1.753005589362189</v>
      </c>
      <c r="M171" s="46">
        <v>15.256588072122071</v>
      </c>
      <c r="N171" s="32"/>
    </row>
    <row r="172" spans="1:14" x14ac:dyDescent="0.45">
      <c r="A172" s="49">
        <v>46240</v>
      </c>
      <c r="B172" s="39" t="s">
        <v>112</v>
      </c>
      <c r="C172" s="39" t="s">
        <v>67</v>
      </c>
      <c r="D172" s="39" t="s">
        <v>68</v>
      </c>
      <c r="E172" s="40">
        <v>76</v>
      </c>
      <c r="F172" s="41">
        <v>111.76</v>
      </c>
      <c r="G172" s="41">
        <v>2.8813403295590678</v>
      </c>
      <c r="H172" s="39" t="s">
        <v>25</v>
      </c>
      <c r="I172" s="39" t="s">
        <v>45</v>
      </c>
      <c r="J172" s="41">
        <v>101.101</v>
      </c>
      <c r="K172" s="41">
        <v>110.21</v>
      </c>
      <c r="L172" s="41">
        <v>1.000917175873056</v>
      </c>
      <c r="M172" s="41">
        <v>3.875824890789104</v>
      </c>
      <c r="N172" s="32"/>
    </row>
    <row r="173" spans="1:14" x14ac:dyDescent="0.45">
      <c r="A173" s="50">
        <v>46240</v>
      </c>
      <c r="B173" s="44" t="s">
        <v>112</v>
      </c>
      <c r="C173" s="43">
        <v>600489</v>
      </c>
      <c r="D173" s="44" t="s">
        <v>70</v>
      </c>
      <c r="E173" s="45">
        <v>75.599999999999994</v>
      </c>
      <c r="F173" s="46">
        <v>25.11</v>
      </c>
      <c r="G173" s="46">
        <v>3.5463917525773159</v>
      </c>
      <c r="H173" s="44" t="s">
        <v>27</v>
      </c>
      <c r="I173" s="44" t="s">
        <v>71</v>
      </c>
      <c r="J173" s="46">
        <v>22.504999999999999</v>
      </c>
      <c r="K173" s="46">
        <v>21.4785</v>
      </c>
      <c r="L173" s="46">
        <v>1.7131493540744569</v>
      </c>
      <c r="M173" s="46">
        <v>11.848552338530061</v>
      </c>
      <c r="N173" s="32"/>
    </row>
    <row r="174" spans="1:14" x14ac:dyDescent="0.45">
      <c r="A174" s="49">
        <v>46240</v>
      </c>
      <c r="B174" s="39" t="s">
        <v>112</v>
      </c>
      <c r="C174" s="48">
        <v>605305</v>
      </c>
      <c r="D174" s="39" t="s">
        <v>72</v>
      </c>
      <c r="E174" s="40">
        <v>75.400000000000006</v>
      </c>
      <c r="F174" s="41">
        <v>40.1</v>
      </c>
      <c r="G174" s="41">
        <v>0.75376884422111434</v>
      </c>
      <c r="H174" s="39" t="s">
        <v>25</v>
      </c>
      <c r="I174" s="39" t="s">
        <v>45</v>
      </c>
      <c r="J174" s="41">
        <v>39.116</v>
      </c>
      <c r="K174" s="41">
        <v>39.143999999999998</v>
      </c>
      <c r="L174" s="41">
        <v>0.99232641829743629</v>
      </c>
      <c r="M174" s="41">
        <v>0.7790902236743058</v>
      </c>
      <c r="N174" s="32"/>
    </row>
    <row r="175" spans="1:14" x14ac:dyDescent="0.45">
      <c r="A175" s="50">
        <v>46240</v>
      </c>
      <c r="B175" s="44" t="s">
        <v>112</v>
      </c>
      <c r="C175" s="43">
        <v>605499</v>
      </c>
      <c r="D175" s="44" t="s">
        <v>73</v>
      </c>
      <c r="E175" s="45">
        <v>74.8</v>
      </c>
      <c r="F175" s="46">
        <v>120.89</v>
      </c>
      <c r="G175" s="46">
        <v>-1.346499102333931</v>
      </c>
      <c r="H175" s="44" t="s">
        <v>26</v>
      </c>
      <c r="I175" s="44" t="s">
        <v>47</v>
      </c>
      <c r="J175" s="46">
        <v>130.554</v>
      </c>
      <c r="K175" s="46">
        <v>128.23500000000001</v>
      </c>
      <c r="L175" s="46">
        <v>0.73109896692528265</v>
      </c>
      <c r="M175" s="46">
        <v>-5.6799563080283892</v>
      </c>
      <c r="N175" s="32"/>
    </row>
    <row r="176" spans="1:14" x14ac:dyDescent="0.45">
      <c r="A176" s="49">
        <v>46240</v>
      </c>
      <c r="B176" s="39" t="s">
        <v>112</v>
      </c>
      <c r="C176" s="48">
        <v>600236</v>
      </c>
      <c r="D176" s="39" t="s">
        <v>74</v>
      </c>
      <c r="E176" s="40">
        <v>74.5</v>
      </c>
      <c r="F176" s="41">
        <v>10.97</v>
      </c>
      <c r="G176" s="41">
        <v>-1.437556154537289</v>
      </c>
      <c r="H176" s="39" t="s">
        <v>28</v>
      </c>
      <c r="I176" s="39" t="s">
        <v>75</v>
      </c>
      <c r="J176" s="41">
        <v>10.786</v>
      </c>
      <c r="K176" s="41">
        <v>10.679500000000001</v>
      </c>
      <c r="L176" s="41">
        <v>0.74668919468689199</v>
      </c>
      <c r="M176" s="41">
        <v>-3.433098591549288</v>
      </c>
      <c r="N176" s="48">
        <v>176</v>
      </c>
    </row>
    <row r="177" spans="1:14" x14ac:dyDescent="0.45">
      <c r="A177" s="50">
        <v>46240</v>
      </c>
      <c r="B177" s="44" t="s">
        <v>112</v>
      </c>
      <c r="C177" s="44" t="s">
        <v>76</v>
      </c>
      <c r="D177" s="44" t="s">
        <v>77</v>
      </c>
      <c r="E177" s="45">
        <v>74.3</v>
      </c>
      <c r="F177" s="46">
        <v>66.95</v>
      </c>
      <c r="G177" s="46">
        <v>-0.90290112492599217</v>
      </c>
      <c r="H177" s="44" t="s">
        <v>25</v>
      </c>
      <c r="I177" s="44" t="s">
        <v>45</v>
      </c>
      <c r="J177" s="46">
        <v>64.128</v>
      </c>
      <c r="K177" s="46">
        <v>64.501000000000005</v>
      </c>
      <c r="L177" s="46">
        <v>1.0646687121879359</v>
      </c>
      <c r="M177" s="46">
        <v>4.1213063763608124</v>
      </c>
      <c r="N177" s="32"/>
    </row>
    <row r="178" spans="1:14" x14ac:dyDescent="0.45">
      <c r="A178" s="49">
        <v>46240</v>
      </c>
      <c r="B178" s="39" t="s">
        <v>112</v>
      </c>
      <c r="C178" s="48">
        <v>600499</v>
      </c>
      <c r="D178" s="39" t="s">
        <v>78</v>
      </c>
      <c r="E178" s="40">
        <v>73.599999999999994</v>
      </c>
      <c r="F178" s="41">
        <v>14.4</v>
      </c>
      <c r="G178" s="41">
        <v>-0.82644628099173278</v>
      </c>
      <c r="H178" s="39" t="s">
        <v>26</v>
      </c>
      <c r="I178" s="39" t="s">
        <v>47</v>
      </c>
      <c r="J178" s="41">
        <v>15.611000000000001</v>
      </c>
      <c r="K178" s="41">
        <v>15.2445</v>
      </c>
      <c r="L178" s="41">
        <v>1.2760712068268409</v>
      </c>
      <c r="M178" s="41">
        <v>-9.6612296110413993</v>
      </c>
      <c r="N178" s="32"/>
    </row>
    <row r="179" spans="1:14" x14ac:dyDescent="0.45">
      <c r="A179" s="50">
        <v>46240</v>
      </c>
      <c r="B179" s="44" t="s">
        <v>112</v>
      </c>
      <c r="C179" s="43">
        <v>603979</v>
      </c>
      <c r="D179" s="44" t="s">
        <v>79</v>
      </c>
      <c r="E179" s="45">
        <v>73.599999999999994</v>
      </c>
      <c r="F179" s="46">
        <v>78.400000000000006</v>
      </c>
      <c r="G179" s="46">
        <v>-0.3558718861209953</v>
      </c>
      <c r="H179" s="44" t="s">
        <v>30</v>
      </c>
      <c r="I179" s="44" t="s">
        <v>80</v>
      </c>
      <c r="J179" s="46">
        <v>73.486000000000018</v>
      </c>
      <c r="K179" s="46">
        <v>70.028499999999994</v>
      </c>
      <c r="L179" s="46">
        <v>1.3264302861205579</v>
      </c>
      <c r="M179" s="46">
        <v>5.5323731323192904</v>
      </c>
      <c r="N179" s="43">
        <v>179</v>
      </c>
    </row>
    <row r="180" spans="1:14" x14ac:dyDescent="0.45">
      <c r="A180" s="49">
        <v>46240</v>
      </c>
      <c r="B180" s="39" t="s">
        <v>112</v>
      </c>
      <c r="C180" s="48">
        <v>600801</v>
      </c>
      <c r="D180" s="39" t="s">
        <v>81</v>
      </c>
      <c r="E180" s="40">
        <v>73</v>
      </c>
      <c r="F180" s="41">
        <v>23.01</v>
      </c>
      <c r="G180" s="41">
        <v>4.9247606019152013</v>
      </c>
      <c r="H180" s="39" t="s">
        <v>27</v>
      </c>
      <c r="I180" s="39" t="s">
        <v>82</v>
      </c>
      <c r="J180" s="41">
        <v>21.832000000000001</v>
      </c>
      <c r="K180" s="41">
        <v>20.782499999999999</v>
      </c>
      <c r="L180" s="41">
        <v>1.3313077146285111</v>
      </c>
      <c r="M180" s="41">
        <v>6.2326869806094143</v>
      </c>
      <c r="N180" s="32"/>
    </row>
    <row r="181" spans="1:14" x14ac:dyDescent="0.45">
      <c r="A181" s="50">
        <v>46240</v>
      </c>
      <c r="B181" s="44" t="s">
        <v>112</v>
      </c>
      <c r="C181" s="44" t="s">
        <v>83</v>
      </c>
      <c r="D181" s="44" t="s">
        <v>84</v>
      </c>
      <c r="E181" s="45">
        <v>72.400000000000006</v>
      </c>
      <c r="F181" s="46">
        <v>42.17</v>
      </c>
      <c r="G181" s="46">
        <v>0.59637404580152875</v>
      </c>
      <c r="H181" s="44" t="s">
        <v>25</v>
      </c>
      <c r="I181" s="44" t="s">
        <v>45</v>
      </c>
      <c r="J181" s="46">
        <v>40.341999999999999</v>
      </c>
      <c r="K181" s="46">
        <v>41.904000000000003</v>
      </c>
      <c r="L181" s="46">
        <v>0.78682579857000579</v>
      </c>
      <c r="M181" s="46">
        <v>9.4471840124578321</v>
      </c>
      <c r="N181" s="32"/>
    </row>
    <row r="182" spans="1:14" x14ac:dyDescent="0.45">
      <c r="A182" s="49">
        <v>46240</v>
      </c>
      <c r="B182" s="39" t="s">
        <v>112</v>
      </c>
      <c r="C182" s="48">
        <v>603317</v>
      </c>
      <c r="D182" s="39" t="s">
        <v>86</v>
      </c>
      <c r="E182" s="40">
        <v>71.5</v>
      </c>
      <c r="F182" s="41">
        <v>14.27</v>
      </c>
      <c r="G182" s="41">
        <v>-3.7761294672960299</v>
      </c>
      <c r="H182" s="39" t="s">
        <v>29</v>
      </c>
      <c r="I182" s="39" t="s">
        <v>87</v>
      </c>
      <c r="J182" s="41">
        <v>14.464</v>
      </c>
      <c r="K182" s="41">
        <v>14.0815</v>
      </c>
      <c r="L182" s="41">
        <v>1.020327726659132</v>
      </c>
      <c r="M182" s="41">
        <v>1.2775017743080099</v>
      </c>
      <c r="N182" s="32"/>
    </row>
    <row r="183" spans="1:14" x14ac:dyDescent="0.45">
      <c r="A183" s="50">
        <v>46240</v>
      </c>
      <c r="B183" s="44" t="s">
        <v>112</v>
      </c>
      <c r="C183" s="43">
        <v>300540</v>
      </c>
      <c r="D183" s="44" t="s">
        <v>85</v>
      </c>
      <c r="E183" s="45">
        <v>71.5</v>
      </c>
      <c r="F183" s="46">
        <v>33.61</v>
      </c>
      <c r="G183" s="46">
        <v>19.992859692966778</v>
      </c>
      <c r="H183" s="44" t="s">
        <v>25</v>
      </c>
      <c r="I183" s="44" t="s">
        <v>45</v>
      </c>
      <c r="J183" s="46">
        <v>28.065999999999999</v>
      </c>
      <c r="K183" s="46">
        <v>31.658000000000001</v>
      </c>
      <c r="L183" s="46">
        <v>1.9479717543582831</v>
      </c>
      <c r="M183" s="46">
        <v>12.03333333333334</v>
      </c>
      <c r="N183" s="32"/>
    </row>
    <row r="184" spans="1:14" x14ac:dyDescent="0.45">
      <c r="A184" s="49">
        <v>46240</v>
      </c>
      <c r="B184" s="39" t="s">
        <v>112</v>
      </c>
      <c r="C184" s="39" t="s">
        <v>88</v>
      </c>
      <c r="D184" s="39" t="s">
        <v>89</v>
      </c>
      <c r="E184" s="40">
        <v>70.599999999999994</v>
      </c>
      <c r="F184" s="41">
        <v>9.0500000000000007</v>
      </c>
      <c r="G184" s="41">
        <v>-0.44004400440043062</v>
      </c>
      <c r="H184" s="39" t="s">
        <v>26</v>
      </c>
      <c r="I184" s="39" t="s">
        <v>47</v>
      </c>
      <c r="J184" s="41">
        <v>9.0470000000000006</v>
      </c>
      <c r="K184" s="41">
        <v>9.1</v>
      </c>
      <c r="L184" s="41">
        <v>0.98869332152093325</v>
      </c>
      <c r="M184" s="41">
        <v>-1.2008733624454091</v>
      </c>
      <c r="N184" s="32"/>
    </row>
    <row r="185" spans="1:14" x14ac:dyDescent="0.45">
      <c r="A185" s="50">
        <v>46240</v>
      </c>
      <c r="B185" s="44" t="s">
        <v>112</v>
      </c>
      <c r="C185" s="43">
        <v>300031</v>
      </c>
      <c r="D185" s="44" t="s">
        <v>90</v>
      </c>
      <c r="E185" s="45">
        <v>68.5</v>
      </c>
      <c r="F185" s="46">
        <v>21.32</v>
      </c>
      <c r="G185" s="46">
        <v>-2.7372262773722729</v>
      </c>
      <c r="H185" s="44" t="s">
        <v>25</v>
      </c>
      <c r="I185" s="44" t="s">
        <v>45</v>
      </c>
      <c r="J185" s="46">
        <v>19.617999999999999</v>
      </c>
      <c r="K185" s="46">
        <v>19.715499999999999</v>
      </c>
      <c r="L185" s="46">
        <v>0.89375560816651056</v>
      </c>
      <c r="M185" s="46">
        <v>15.24324324324324</v>
      </c>
      <c r="N185" s="32"/>
    </row>
    <row r="186" spans="1:14" x14ac:dyDescent="0.45">
      <c r="A186" s="49">
        <v>46240</v>
      </c>
      <c r="B186" s="39" t="s">
        <v>112</v>
      </c>
      <c r="C186" s="39" t="s">
        <v>91</v>
      </c>
      <c r="D186" s="39" t="s">
        <v>92</v>
      </c>
      <c r="E186" s="40">
        <v>68</v>
      </c>
      <c r="F186" s="41">
        <v>83.54</v>
      </c>
      <c r="G186" s="41">
        <v>8.4794182573691756</v>
      </c>
      <c r="H186" s="39" t="s">
        <v>25</v>
      </c>
      <c r="I186" s="39" t="s">
        <v>45</v>
      </c>
      <c r="J186" s="41">
        <v>71.818000000000012</v>
      </c>
      <c r="K186" s="41">
        <v>77.855500000000006</v>
      </c>
      <c r="L186" s="41">
        <v>1.3867322246114651</v>
      </c>
      <c r="M186" s="41">
        <v>9.417157825802235</v>
      </c>
      <c r="N186" s="32"/>
    </row>
    <row r="187" spans="1:14" x14ac:dyDescent="0.45">
      <c r="A187" s="50">
        <v>46240</v>
      </c>
      <c r="B187" s="44" t="s">
        <v>112</v>
      </c>
      <c r="C187" s="43">
        <v>600520</v>
      </c>
      <c r="D187" s="44" t="s">
        <v>93</v>
      </c>
      <c r="E187" s="45">
        <v>67.599999999999994</v>
      </c>
      <c r="F187" s="46">
        <v>23.95</v>
      </c>
      <c r="G187" s="46">
        <v>2.6575225032147598</v>
      </c>
      <c r="H187" s="44" t="s">
        <v>26</v>
      </c>
      <c r="I187" s="44" t="s">
        <v>47</v>
      </c>
      <c r="J187" s="46">
        <v>22.558</v>
      </c>
      <c r="K187" s="46">
        <v>25.259</v>
      </c>
      <c r="L187" s="46">
        <v>0.7743615714533636</v>
      </c>
      <c r="M187" s="46">
        <v>2.1321961620469181</v>
      </c>
      <c r="N187" s="32"/>
    </row>
    <row r="188" spans="1:14" x14ac:dyDescent="0.45">
      <c r="A188" s="49">
        <v>46240</v>
      </c>
      <c r="B188" s="39" t="s">
        <v>112</v>
      </c>
      <c r="C188" s="48">
        <v>300191</v>
      </c>
      <c r="D188" s="39" t="s">
        <v>94</v>
      </c>
      <c r="E188" s="40">
        <v>67.400000000000006</v>
      </c>
      <c r="F188" s="41">
        <v>32.450000000000003</v>
      </c>
      <c r="G188" s="41">
        <v>7.0957095709571094</v>
      </c>
      <c r="H188" s="39" t="s">
        <v>27</v>
      </c>
      <c r="I188" s="39" t="s">
        <v>95</v>
      </c>
      <c r="J188" s="41">
        <v>29.433</v>
      </c>
      <c r="K188" s="41">
        <v>28.543500000000002</v>
      </c>
      <c r="L188" s="41">
        <v>1.136687965036288</v>
      </c>
      <c r="M188" s="41">
        <v>2.430555555555558</v>
      </c>
      <c r="N188" s="32"/>
    </row>
    <row r="189" spans="1:14" x14ac:dyDescent="0.45">
      <c r="A189" s="50">
        <v>46240</v>
      </c>
      <c r="B189" s="44" t="s">
        <v>112</v>
      </c>
      <c r="C189" s="44" t="s">
        <v>96</v>
      </c>
      <c r="D189" s="44" t="s">
        <v>97</v>
      </c>
      <c r="E189" s="45">
        <v>64.400000000000006</v>
      </c>
      <c r="F189" s="46">
        <v>5.05</v>
      </c>
      <c r="G189" s="46">
        <v>-0.59055118110237226</v>
      </c>
      <c r="H189" s="44" t="s">
        <v>27</v>
      </c>
      <c r="I189" s="44" t="s">
        <v>98</v>
      </c>
      <c r="J189" s="46">
        <v>4.8169999999999993</v>
      </c>
      <c r="K189" s="46">
        <v>4.7685000000000004</v>
      </c>
      <c r="L189" s="46">
        <v>1.1326208938865729</v>
      </c>
      <c r="M189" s="46">
        <v>-0.39447731755425369</v>
      </c>
      <c r="N189" s="32"/>
    </row>
    <row r="190" spans="1:14" ht="27.75" x14ac:dyDescent="0.45">
      <c r="A190" s="49">
        <v>46240</v>
      </c>
      <c r="B190" s="39" t="s">
        <v>112</v>
      </c>
      <c r="C190" s="39" t="s">
        <v>99</v>
      </c>
      <c r="D190" s="39" t="s">
        <v>100</v>
      </c>
      <c r="E190" s="40">
        <v>52</v>
      </c>
      <c r="F190" s="41">
        <v>10.95</v>
      </c>
      <c r="G190" s="41">
        <v>-6.6496163682864591</v>
      </c>
      <c r="H190" s="39" t="s">
        <v>30</v>
      </c>
      <c r="I190" s="39" t="s">
        <v>101</v>
      </c>
      <c r="J190" s="41">
        <v>8.5240000000000009</v>
      </c>
      <c r="K190" s="41">
        <v>6.9525000000000006</v>
      </c>
      <c r="L190" s="41">
        <v>3.482556519428873</v>
      </c>
      <c r="M190" s="41">
        <v>95.535714285714278</v>
      </c>
      <c r="N190" s="32"/>
    </row>
    <row r="191" spans="1:14" x14ac:dyDescent="0.45">
      <c r="A191" s="50">
        <v>46240</v>
      </c>
      <c r="B191" s="44" t="s">
        <v>112</v>
      </c>
      <c r="C191" s="43">
        <v>300497</v>
      </c>
      <c r="D191" s="44" t="s">
        <v>102</v>
      </c>
      <c r="E191" s="45">
        <v>47.5</v>
      </c>
      <c r="F191" s="46">
        <v>18.25</v>
      </c>
      <c r="G191" s="46">
        <v>3.9886039886039888</v>
      </c>
      <c r="H191" s="44" t="s">
        <v>25</v>
      </c>
      <c r="I191" s="44" t="s">
        <v>45</v>
      </c>
      <c r="J191" s="46">
        <v>17.056000000000001</v>
      </c>
      <c r="K191" s="46">
        <v>17.2255</v>
      </c>
      <c r="L191" s="46">
        <v>1.224049412039097</v>
      </c>
      <c r="M191" s="46">
        <v>3.9886039886039888</v>
      </c>
      <c r="N191" s="32"/>
    </row>
    <row r="192" spans="1:14" x14ac:dyDescent="0.45">
      <c r="A192" s="49">
        <v>46240</v>
      </c>
      <c r="B192" s="39" t="s">
        <v>112</v>
      </c>
      <c r="C192" s="39" t="s">
        <v>103</v>
      </c>
      <c r="D192" s="39" t="s">
        <v>104</v>
      </c>
      <c r="E192" s="40">
        <v>44.5</v>
      </c>
      <c r="F192" s="41">
        <v>7.24</v>
      </c>
      <c r="G192" s="41">
        <v>0.83565459610028814</v>
      </c>
      <c r="H192" s="39" t="s">
        <v>27</v>
      </c>
      <c r="I192" s="39" t="s">
        <v>105</v>
      </c>
      <c r="J192" s="41">
        <v>6.8390000000000004</v>
      </c>
      <c r="K192" s="41">
        <v>6.4344999999999999</v>
      </c>
      <c r="L192" s="41">
        <v>0.73112900315424467</v>
      </c>
      <c r="M192" s="41">
        <v>-5.606258148631027</v>
      </c>
      <c r="N192" s="32"/>
    </row>
  </sheetData>
  <phoneticPr fontId="14" type="noConversion"/>
  <conditionalFormatting sqref="G2:G1000">
    <cfRule type="colorScale" priority="1">
      <colorScale>
        <cfvo type="min"/>
        <cfvo type="percentile" val="50"/>
        <cfvo type="max"/>
        <color rgb="FFC6EFCE"/>
        <color rgb="FFFFFFFF"/>
        <color rgb="FFFFC7CE"/>
      </colorScale>
    </cfRule>
  </conditionalFormatting>
  <conditionalFormatting sqref="H2:H1000">
    <cfRule type="expression" dxfId="12" priority="3">
      <formula>$H2="T1确认买点"</formula>
    </cfRule>
    <cfRule type="expression" dxfId="11" priority="4">
      <formula>$H2="回踩低吸"</formula>
    </cfRule>
  </conditionalFormatting>
  <conditionalFormatting sqref="E2:E1000">
    <cfRule type="cellIs" dxfId="10" priority="5" operator="greaterThanOrEqual">
      <formula>80</formula>
    </cfRule>
  </conditionalFormatting>
  <conditionalFormatting sqref="G2:G2000">
    <cfRule type="cellIs" dxfId="9" priority="6" operator="greaterThan">
      <formula>0</formula>
    </cfRule>
    <cfRule type="cellIs" dxfId="8" priority="6" operator="lessThan">
      <formula>0</formula>
    </cfRule>
  </conditionalFormatting>
  <conditionalFormatting sqref="M2:M2000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L2:L2000">
    <cfRule type="cellIs" dxfId="5" priority="9" operator="greaterThan">
      <formula>0</formula>
    </cfRule>
    <cfRule type="cellIs" dxfId="4" priority="10" operator="lessThan">
      <formula>0</formula>
    </cfRule>
  </conditionalFormatting>
  <conditionalFormatting sqref="E2:E2000">
    <cfRule type="colorScale" priority="11">
      <colorScale>
        <cfvo type="min"/>
        <cfvo type="percentile" val="50"/>
        <cfvo type="max"/>
        <color rgb="FF3D1F2A"/>
        <color rgb="FF1D3245"/>
        <color rgb="FF1A3D2E"/>
      </colorScale>
    </cfRule>
  </conditionalFormatting>
  <conditionalFormatting sqref="H2:H2000">
    <cfRule type="expression" dxfId="3" priority="12">
      <formula>OR(H2="T0新信号",H2="T1确认买点")</formula>
    </cfRule>
    <cfRule type="expression" dxfId="2" priority="13">
      <formula>OR(H2="回踩低吸",H2="多头回踩")</formula>
    </cfRule>
    <cfRule type="expression" dxfId="1" priority="14">
      <formula>OR(H2="破位",H2="空头")</formula>
    </cfRule>
    <cfRule type="expression" dxfId="0" priority="15">
      <formula>H2="多头持有"</formula>
    </cfRule>
  </conditionalFormatting>
  <pageMargins left="0.75" right="0.75" top="1" bottom="1" header="0.5" footer="0.5"/>
  <pageSetup fitToHeight="0" orientation="landscape" r:id="rId1"/>
  <headerFooter>
    <oddHeader>&amp;L&amp;"Consolas,Regular"&amp;9&amp;K6E7681 QUANT DASHBOARD&amp;R&amp;"Consolas,Regular"&amp;9&amp;K6E76812026-08-07</oddHeader>
    <oddFooter>&amp;C&amp;"Consolas,Regular"&amp;8&amp;K484F58第 &amp;P 页 / 共 &amp;N 页&amp;R&amp;"Consolas,Regular"&amp;8&amp;K484F58免责：研究线索，不构成投资建议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Summary</vt:lpstr>
      <vt:lpstr>Watch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OfficeCLI</dc:creator>
  <cp:lastModifiedBy>龍天紅</cp:lastModifiedBy>
  <dcterms:created xsi:type="dcterms:W3CDTF">2026-08-07T00:15:33Z</dcterms:created>
  <dcterms:modified xsi:type="dcterms:W3CDTF">2026-08-07T02:10:15Z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ceCLI.Version">
    <vt:lpwstr>1.0.143</vt:lpwstr>
  </property>
  <property fmtid="{D5CDD505-2E9C-101B-9397-08002B2CF9AE}" pid="3" name="OfficeCLI.LastModified">
    <vt:lpwstr>2026-08-07T01:10:58Z</vt:lpwstr>
  </property>
</Properties>
</file>